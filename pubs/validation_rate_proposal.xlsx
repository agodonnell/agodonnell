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ndexanalytics-my.sharepoint.com/personal/aodonnell_index-analytics_com/Documents/Documents/GitHub/agodonnell/privaterepo/notes/"/>
    </mc:Choice>
  </mc:AlternateContent>
  <xr:revisionPtr revIDLastSave="383" documentId="8_{9D1E4A21-8642-4457-AF77-D6997BBEE0B6}" xr6:coauthVersionLast="47" xr6:coauthVersionMax="47" xr10:uidLastSave="{2BE9056A-13D4-4C4E-97FF-F3DF087DCC2F}"/>
  <bookViews>
    <workbookView xWindow="30" yWindow="-16320" windowWidth="29040" windowHeight="15720" xr2:uid="{631D46AD-E476-4549-AA85-6DBDFDDAD73A}"/>
  </bookViews>
  <sheets>
    <sheet name="Method Comparison" sheetId="1" r:id="rId1"/>
    <sheet name="arithmetic vs geometric" sheetId="2" r:id="rId2"/>
  </sheets>
  <calcPr calcId="191029" calcCompleted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E7" i="2"/>
  <c r="E6" i="2"/>
  <c r="D6" i="2"/>
  <c r="E4" i="2"/>
  <c r="E3" i="2"/>
  <c r="D4" i="2"/>
  <c r="D3" i="2"/>
  <c r="C4" i="2"/>
  <c r="C3" i="2"/>
  <c r="E5" i="1"/>
  <c r="D5" i="1"/>
  <c r="F5" i="1"/>
  <c r="H5" i="1"/>
  <c r="I5" i="1"/>
  <c r="J5" i="1"/>
  <c r="K5" i="1"/>
  <c r="L5" i="1"/>
  <c r="M11" i="1"/>
  <c r="C5" i="1"/>
  <c r="D4" i="1"/>
  <c r="E4" i="1"/>
  <c r="F4" i="1"/>
  <c r="G4" i="1"/>
  <c r="H4" i="1"/>
  <c r="I4" i="1"/>
  <c r="J4" i="1"/>
  <c r="K4" i="1"/>
  <c r="L4" i="1"/>
  <c r="M31" i="1"/>
  <c r="M37" i="1"/>
  <c r="C4" i="1"/>
  <c r="D3" i="1"/>
  <c r="E3" i="1"/>
  <c r="F3" i="1"/>
  <c r="G3" i="1"/>
  <c r="H3" i="1"/>
  <c r="I3" i="1"/>
  <c r="J3" i="1"/>
  <c r="K3" i="1"/>
  <c r="L3" i="1"/>
  <c r="M30" i="1"/>
  <c r="M36" i="1"/>
  <c r="C3" i="1"/>
  <c r="I11" i="1"/>
  <c r="F32" i="1"/>
  <c r="F38" i="1"/>
  <c r="D30" i="1"/>
  <c r="E31" i="1"/>
  <c r="E37" i="1"/>
  <c r="G32" i="1"/>
  <c r="G38" i="1"/>
  <c r="K30" i="1"/>
  <c r="K36" i="1"/>
  <c r="H30" i="1"/>
  <c r="H36" i="1"/>
  <c r="J31" i="1"/>
  <c r="J37" i="1"/>
  <c r="F30" i="1"/>
  <c r="F36" i="1"/>
  <c r="H31" i="1"/>
  <c r="H37" i="1"/>
  <c r="J32" i="1"/>
  <c r="J38" i="1"/>
  <c r="J30" i="1"/>
  <c r="J36" i="1"/>
  <c r="D32" i="1"/>
  <c r="G30" i="1"/>
  <c r="G36" i="1"/>
  <c r="I31" i="1"/>
  <c r="I37" i="1"/>
  <c r="K32" i="1"/>
  <c r="K38" i="1"/>
  <c r="L31" i="1"/>
  <c r="L37" i="1"/>
  <c r="F31" i="1"/>
  <c r="F37" i="1"/>
  <c r="E30" i="1"/>
  <c r="E36" i="1"/>
  <c r="G31" i="1"/>
  <c r="G37" i="1"/>
  <c r="I32" i="1"/>
  <c r="I38" i="1"/>
  <c r="K31" i="1"/>
  <c r="K37" i="1"/>
  <c r="I30" i="1"/>
  <c r="I36" i="1"/>
  <c r="M32" i="1"/>
  <c r="E32" i="1"/>
  <c r="E38" i="1"/>
  <c r="L30" i="1"/>
  <c r="L36" i="1"/>
  <c r="H32" i="1"/>
  <c r="H38" i="1"/>
  <c r="L32" i="1"/>
  <c r="L38" i="1"/>
  <c r="D31" i="1"/>
  <c r="F9" i="1"/>
  <c r="Q4" i="1"/>
  <c r="N3" i="1"/>
  <c r="Q5" i="1"/>
  <c r="S3" i="1"/>
  <c r="H10" i="1"/>
  <c r="J11" i="1"/>
  <c r="P4" i="1"/>
  <c r="P5" i="1"/>
  <c r="Q3" i="1"/>
  <c r="N5" i="1"/>
  <c r="E9" i="1"/>
  <c r="G10" i="1"/>
  <c r="P3" i="1"/>
  <c r="N4" i="1"/>
  <c r="J9" i="1"/>
  <c r="L10" i="1"/>
  <c r="F11" i="1"/>
  <c r="I9" i="1"/>
  <c r="E11" i="1"/>
  <c r="L9" i="1"/>
  <c r="F10" i="1"/>
  <c r="H11" i="1"/>
  <c r="K10" i="1"/>
  <c r="E10" i="1"/>
  <c r="H9" i="1"/>
  <c r="D11" i="1"/>
  <c r="M9" i="1"/>
  <c r="M10" i="1"/>
  <c r="G9" i="1"/>
  <c r="I10" i="1"/>
  <c r="K11" i="1"/>
  <c r="K9" i="1"/>
  <c r="G11" i="1"/>
  <c r="D10" i="1"/>
  <c r="L11" i="1"/>
  <c r="J10" i="1"/>
  <c r="D9" i="1"/>
  <c r="S4" i="1"/>
  <c r="S5" i="1"/>
  <c r="R31" i="1"/>
  <c r="R32" i="1"/>
  <c r="R30" i="1"/>
  <c r="O31" i="1"/>
  <c r="O32" i="1"/>
  <c r="O30" i="1"/>
  <c r="E46" i="1"/>
  <c r="E54" i="1"/>
  <c r="E62" i="1"/>
  <c r="E56" i="1"/>
  <c r="E50" i="1"/>
  <c r="E51" i="1"/>
  <c r="E59" i="1"/>
  <c r="E44" i="1"/>
  <c r="E61" i="1"/>
  <c r="E47" i="1"/>
  <c r="E55" i="1"/>
  <c r="E63" i="1"/>
  <c r="E49" i="1"/>
  <c r="E58" i="1"/>
  <c r="E48" i="1"/>
  <c r="E57" i="1"/>
  <c r="E52" i="1"/>
  <c r="E60" i="1"/>
  <c r="E45" i="1"/>
  <c r="E53" i="1"/>
  <c r="E43" i="1"/>
  <c r="C43" i="1"/>
  <c r="C45" i="1"/>
  <c r="C53" i="1"/>
  <c r="C61" i="1"/>
  <c r="C46" i="1"/>
  <c r="C54" i="1"/>
  <c r="C62" i="1"/>
  <c r="C47" i="1"/>
  <c r="C55" i="1"/>
  <c r="C63" i="1"/>
  <c r="C48" i="1"/>
  <c r="C56" i="1"/>
  <c r="C50" i="1"/>
  <c r="C52" i="1"/>
  <c r="C49" i="1"/>
  <c r="C57" i="1"/>
  <c r="C58" i="1"/>
  <c r="C51" i="1"/>
  <c r="C59" i="1"/>
  <c r="C44" i="1"/>
  <c r="C60" i="1"/>
  <c r="P31" i="1" a="1"/>
  <c r="P31" i="1"/>
  <c r="P32" i="1" a="1"/>
  <c r="P32" i="1"/>
  <c r="P30" i="1" a="1"/>
  <c r="P30" i="1"/>
  <c r="S31" i="1" a="1"/>
  <c r="S31" i="1"/>
  <c r="D37" i="1"/>
  <c r="N37" i="1"/>
  <c r="D38" i="1"/>
  <c r="P38" i="1"/>
  <c r="S32" i="1" a="1"/>
  <c r="S32" i="1"/>
  <c r="S30" i="1" a="1"/>
  <c r="S30" i="1"/>
  <c r="M38" i="1"/>
  <c r="D36" i="1"/>
  <c r="P36" i="1"/>
  <c r="S9" i="1"/>
  <c r="S11" i="1"/>
  <c r="S10" i="1"/>
  <c r="Q11" i="1"/>
  <c r="Q10" i="1"/>
  <c r="Q9" i="1"/>
  <c r="P9" i="1"/>
  <c r="P10" i="1"/>
  <c r="P11" i="1"/>
  <c r="N9" i="1"/>
  <c r="N10" i="1"/>
  <c r="N11" i="1"/>
  <c r="T3" i="1"/>
  <c r="V3" i="1"/>
  <c r="T4" i="1"/>
  <c r="V4" i="1"/>
  <c r="T5" i="1"/>
  <c r="V5" i="1"/>
  <c r="G44" i="1"/>
  <c r="G43" i="1"/>
  <c r="G52" i="1"/>
  <c r="G60" i="1"/>
  <c r="G45" i="1"/>
  <c r="G53" i="1"/>
  <c r="G61" i="1"/>
  <c r="G59" i="1"/>
  <c r="G46" i="1"/>
  <c r="G54" i="1"/>
  <c r="G62" i="1"/>
  <c r="G49" i="1"/>
  <c r="G58" i="1"/>
  <c r="G47" i="1"/>
  <c r="G55" i="1"/>
  <c r="G63" i="1"/>
  <c r="G57" i="1"/>
  <c r="G48" i="1"/>
  <c r="G56" i="1"/>
  <c r="G51" i="1"/>
  <c r="G50" i="1"/>
  <c r="S38" i="1"/>
  <c r="T38" i="1"/>
  <c r="V38" i="1"/>
  <c r="T31" i="1"/>
  <c r="V31" i="1"/>
  <c r="T32" i="1"/>
  <c r="V32" i="1"/>
  <c r="Q37" i="1"/>
  <c r="P37" i="1"/>
  <c r="S36" i="1"/>
  <c r="T36" i="1"/>
  <c r="N36" i="1"/>
  <c r="S37" i="1"/>
  <c r="N38" i="1"/>
  <c r="Q36" i="1"/>
  <c r="Q38" i="1"/>
  <c r="Q31" i="1"/>
  <c r="N32" i="1"/>
  <c r="Q32" i="1"/>
  <c r="Q30" i="1"/>
  <c r="N31" i="1"/>
  <c r="T30" i="1"/>
  <c r="V30" i="1"/>
  <c r="N30" i="1"/>
  <c r="T9" i="1"/>
  <c r="V9" i="1"/>
  <c r="T11" i="1"/>
  <c r="V11" i="1"/>
  <c r="T10" i="1"/>
  <c r="V10" i="1"/>
  <c r="V36" i="1"/>
  <c r="I50" i="1"/>
  <c r="I63" i="1"/>
  <c r="I48" i="1"/>
  <c r="I61" i="1"/>
  <c r="I47" i="1"/>
  <c r="I55" i="1"/>
  <c r="I45" i="1"/>
  <c r="I62" i="1"/>
  <c r="I60" i="1"/>
  <c r="I58" i="1"/>
  <c r="I54" i="1"/>
  <c r="I49" i="1"/>
  <c r="I53" i="1"/>
  <c r="I57" i="1"/>
  <c r="I52" i="1"/>
  <c r="I46" i="1"/>
  <c r="I59" i="1"/>
  <c r="I51" i="1"/>
  <c r="I56" i="1"/>
  <c r="I44" i="1"/>
  <c r="I43" i="1"/>
  <c r="U38" i="1"/>
  <c r="U36" i="1"/>
  <c r="T37" i="1"/>
  <c r="U37" i="1"/>
  <c r="V3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<sst xmlns="http://schemas.openxmlformats.org/spreadsheetml/2006/main" count="93" uniqueCount="53">
  <si>
    <t>Variable</t>
  </si>
  <si>
    <t>GENDER</t>
  </si>
  <si>
    <t>Value</t>
  </si>
  <si>
    <t>M</t>
  </si>
  <si>
    <t>F</t>
  </si>
  <si>
    <t>U</t>
  </si>
  <si>
    <t>min</t>
  </si>
  <si>
    <t>mean</t>
  </si>
  <si>
    <t>max</t>
  </si>
  <si>
    <t>stdev</t>
  </si>
  <si>
    <t>z_delta</t>
  </si>
  <si>
    <t>Original Validation of Values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</si>
  <si>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</si>
  <si>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</si>
  <si>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</si>
  <si>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</si>
  <si>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</si>
  <si>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</si>
  <si>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</si>
  <si>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</si>
  <si>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</si>
  <si>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y2023</t>
  </si>
  <si>
    <t>y2024</t>
  </si>
  <si>
    <t>z_value</t>
  </si>
  <si>
    <t>match/nomatch</t>
  </si>
  <si>
    <t>flag z_2024 &gt; 2.5</t>
  </si>
  <si>
    <t>Value_M</t>
  </si>
  <si>
    <t>Value_U</t>
  </si>
  <si>
    <t>Rate_M</t>
  </si>
  <si>
    <t>pdf_vM</t>
  </si>
  <si>
    <t>pdf_vU</t>
  </si>
  <si>
    <t>pdf_rM</t>
  </si>
  <si>
    <t>lnRate_M</t>
  </si>
  <si>
    <t>pdf_lnrM</t>
  </si>
  <si>
    <t>meanLN</t>
  </si>
  <si>
    <t>stdevLN</t>
  </si>
  <si>
    <t>z_lnRate</t>
  </si>
  <si>
    <t>minLN</t>
  </si>
  <si>
    <t>maxLN</t>
  </si>
  <si>
    <t>Interval</t>
  </si>
  <si>
    <t>Intervals and Data used to create Probability Densities</t>
  </si>
  <si>
    <t>Current Review of Deltas</t>
  </si>
  <si>
    <t>Review of ln(Rates)</t>
  </si>
  <si>
    <t>Review of Rates (meanLN and stdevLN use a combination of Excel SumProduct with Natural Logs Functions)</t>
  </si>
  <si>
    <t>delta</t>
  </si>
  <si>
    <t>deltaPct</t>
  </si>
  <si>
    <t>rate</t>
  </si>
  <si>
    <t>arithmetic_mean</t>
  </si>
  <si>
    <t>geometric_mean</t>
  </si>
  <si>
    <t>value</t>
  </si>
  <si>
    <t>=(2+0.5)/2</t>
  </si>
  <si>
    <t>=sqrt(2*0.5)</t>
  </si>
  <si>
    <t>obs_num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</si>
</sst>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"/>
    <numFmt numFmtId="167" formatCode="0.0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8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1" fontId="0" fillId="0" borderId="0" xfId="0" applyNumberFormat="1"/>
    <xf numFmtId="0" fontId="0" fillId="2" borderId="0" xfId="0" applyFill="1"/>
    <xf numFmtId="0" fontId="1" fillId="3" borderId="0" xfId="0" applyFont="1" applyFill="1"/>
    <xf numFmtId="167" fontId="0" fillId="0" borderId="0" xfId="0" applyNumberFormat="1"/>
    <xf numFmtId="1" fontId="0" fillId="4" borderId="0" xfId="0" applyNumberFormat="1" applyFill="1"/>
    <xf numFmtId="1" fontId="0" fillId="2" borderId="0" xfId="0" applyNumberFormat="1" applyFill="1"/>
    <xf numFmtId="0" fontId="1" fillId="4" borderId="0" xfId="0" applyFont="1" applyFill="1"/>
    <xf numFmtId="0" fontId="0" fillId="4" borderId="0" xfId="0" applyFill="1"/>
    <xf numFmtId="166" fontId="0" fillId="2" borderId="0" xfId="0" applyNumberFormat="1" applyFill="1"/>
    <xf numFmtId="167" fontId="0" fillId="5" borderId="0" xfId="0" applyNumberFormat="1" applyFill="1"/>
    <xf numFmtId="0" fontId="2" fillId="4" borderId="0" xfId="0" applyFont="1" applyFill="1"/>
    <xf numFmtId="0" fontId="1" fillId="3" borderId="1" xfId="0" applyFont="1" applyFill="1" applyBorder="1"/>
    <xf numFmtId="0" fontId="1" fillId="3" borderId="2" xfId="0" applyFont="1" applyFill="1" applyBorder="1"/>
    <xf numFmtId="2" fontId="0" fillId="4" borderId="3" xfId="0" applyNumberFormat="1" applyFill="1" applyBorder="1"/>
    <xf numFmtId="164" fontId="0" fillId="4" borderId="4" xfId="0" applyNumberFormat="1" applyFill="1" applyBorder="1"/>
    <xf numFmtId="2" fontId="0" fillId="4" borderId="5" xfId="0" applyNumberFormat="1" applyFill="1" applyBorder="1"/>
    <xf numFmtId="164" fontId="0" fillId="4" borderId="6" xfId="0" applyNumberFormat="1" applyFill="1" applyBorder="1"/>
    <xf numFmtId="0" fontId="0" fillId="4" borderId="3" xfId="0" applyFill="1" applyBorder="1"/>
    <xf numFmtId="0" fontId="0" fillId="4" borderId="5" xfId="0" applyFill="1" applyBorder="1"/>
    <xf numFmtId="2" fontId="0" fillId="4" borderId="7" xfId="0" applyNumberFormat="1" applyFill="1" applyBorder="1"/>
    <xf numFmtId="164" fontId="0" fillId="4" borderId="8" xfId="0" applyNumberFormat="1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4" xfId="0" applyFill="1" applyBorder="1"/>
    <xf numFmtId="0" fontId="0" fillId="4" borderId="6" xfId="0" applyFill="1" applyBorder="1"/>
    <xf numFmtId="9" fontId="0" fillId="0" borderId="0" xfId="1" applyFont="1"/>
    <xf numFmtId="0" fontId="0" fillId="6" borderId="0" xfId="0" applyFill="1"/>
    <xf numFmtId="0" fontId="0" fillId="7" borderId="0" xfId="0" applyFill="1"/>
    <xf numFmtId="0" fontId="1" fillId="7" borderId="0" xfId="0" applyFont="1" applyFill="1"/>
    <xf numFmtId="0" fontId="1" fillId="8" borderId="0" xfId="0" applyFont="1" applyFill="1"/>
    <xf numFmtId="0" fontId="0" fillId="8" borderId="0" xfId="0" applyFill="1"/>
    <xf numFmtId="0" fontId="0" fillId="8" borderId="0" xfId="0" quotePrefix="1" applyFill="1"/>
    <xf numFmtId="0" fontId="0" fillId="7" borderId="0" xfId="0" quotePrefix="1" applyFill="1"/>
  </cellXfs>
  <cellStyles count="2">
    <cellStyle name="Normal" xfId="0" builtinId="0"/>
    <cellStyle name="Percent" xfId="1" builtinId="5"/>
  </cellStyles>
  <dxfs count="5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pdf: Value_M </a:t>
            </a:r>
            <a:r>
              <a:rPr lang="en-US" sz="1000" b="1"/>
              <a:t>(Constrained 45,51)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'Method Comparison'!$B$42</c:f>
              <c:strCache>
                <c:ptCount val="1"/>
                <c:pt idx="0">
                  <c:v>Value_M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'Method Comparison'!$B$43:$C$63</c:f>
              <c:multiLvlStrCache>
                <c:ptCount val="21"/>
                <c:lvl>
                  <c:pt idx="0">
                    <c:v>0.0508</c:v>
                  </c:pt>
                  <c:pt idx="1">
                    <c:v>0.0679</c:v>
                  </c:pt>
                  <c:pt idx="2">
                    <c:v>0.0885</c:v>
                  </c:pt>
                  <c:pt idx="3">
                    <c:v>0.1110</c:v>
                  </c:pt>
                  <c:pt idx="4">
                    <c:v>0.1349</c:v>
                  </c:pt>
                  <c:pt idx="5">
                    <c:v>0.1585</c:v>
                  </c:pt>
                  <c:pt idx="6">
                    <c:v>0.1801</c:v>
                  </c:pt>
                  <c:pt idx="7">
                    <c:v>0.1980</c:v>
                  </c:pt>
                  <c:pt idx="8">
                    <c:v>0.2106</c:v>
                  </c:pt>
                  <c:pt idx="9">
                    <c:v>0.2167</c:v>
                  </c:pt>
                  <c:pt idx="10">
                    <c:v>0.2156</c:v>
                  </c:pt>
                  <c:pt idx="11">
                    <c:v>0.2075</c:v>
                  </c:pt>
                  <c:pt idx="12">
                    <c:v>0.1933</c:v>
                  </c:pt>
                  <c:pt idx="13">
                    <c:v>0.1741</c:v>
                  </c:pt>
                  <c:pt idx="14">
                    <c:v>0.1516</c:v>
                  </c:pt>
                  <c:pt idx="15">
                    <c:v>0.1278</c:v>
                  </c:pt>
                  <c:pt idx="16">
                    <c:v>0.1042</c:v>
                  </c:pt>
                  <c:pt idx="17">
                    <c:v>0.0822</c:v>
                  </c:pt>
                  <c:pt idx="18">
                    <c:v>0.0627</c:v>
                  </c:pt>
                  <c:pt idx="19">
                    <c:v>0.0462</c:v>
                  </c:pt>
                  <c:pt idx="20">
                    <c:v>0.0330</c:v>
                  </c:pt>
                </c:lvl>
                <c:lvl>
                  <c:pt idx="0">
                    <c:v>45.00</c:v>
                  </c:pt>
                  <c:pt idx="1">
                    <c:v>45.33</c:v>
                  </c:pt>
                  <c:pt idx="2">
                    <c:v>45.67</c:v>
                  </c:pt>
                  <c:pt idx="3">
                    <c:v>46.00</c:v>
                  </c:pt>
                  <c:pt idx="4">
                    <c:v>46.34</c:v>
                  </c:pt>
                  <c:pt idx="5">
                    <c:v>46.67</c:v>
                  </c:pt>
                  <c:pt idx="6">
                    <c:v>47.01</c:v>
                  </c:pt>
                  <c:pt idx="7">
                    <c:v>47.34</c:v>
                  </c:pt>
                  <c:pt idx="8">
                    <c:v>47.68</c:v>
                  </c:pt>
                  <c:pt idx="9">
                    <c:v>48.01</c:v>
                  </c:pt>
                  <c:pt idx="10">
                    <c:v>48.35</c:v>
                  </c:pt>
                  <c:pt idx="11">
                    <c:v>48.68</c:v>
                  </c:pt>
                  <c:pt idx="12">
                    <c:v>49.02</c:v>
                  </c:pt>
                  <c:pt idx="13">
                    <c:v>49.35</c:v>
                  </c:pt>
                  <c:pt idx="14">
                    <c:v>49.69</c:v>
                  </c:pt>
                  <c:pt idx="15">
                    <c:v>50.02</c:v>
                  </c:pt>
                  <c:pt idx="16">
                    <c:v>50.36</c:v>
                  </c:pt>
                  <c:pt idx="17">
                    <c:v>50.69</c:v>
                  </c:pt>
                  <c:pt idx="18">
                    <c:v>51.03</c:v>
                  </c:pt>
                  <c:pt idx="19">
                    <c:v>51.36</c:v>
                  </c:pt>
                  <c:pt idx="20">
                    <c:v>51.70</c:v>
                  </c:pt>
                </c:lvl>
              </c:multiLvlStrCache>
            </c:multiLvlStrRef>
          </c:cat>
          <c:val>
            <c:numRef>
              <c:f>'Method Comparison'!$C$43:$C$63</c:f>
              <c:numCache>
                <c:formatCode>0.0000</c:formatCode>
                <c:ptCount val="21"/>
                <c:pt idx="0">
                  <c:v>5.0807082068836398E-2</c:v>
                </c:pt>
                <c:pt idx="1">
                  <c:v>6.7897994213100943E-2</c:v>
                </c:pt>
                <c:pt idx="2">
                  <c:v>8.850223447330581E-2</c:v>
                </c:pt>
                <c:pt idx="3">
                  <c:v>0.11100920574702169</c:v>
                </c:pt>
                <c:pt idx="4">
                  <c:v>0.13485144685413045</c:v>
                </c:pt>
                <c:pt idx="5">
                  <c:v>0.15845872115952153</c:v>
                </c:pt>
                <c:pt idx="6">
                  <c:v>0.18011115194044847</c:v>
                </c:pt>
                <c:pt idx="7">
                  <c:v>0.19802908561154264</c:v>
                </c:pt>
                <c:pt idx="8">
                  <c:v>0.21061111216178011</c:v>
                </c:pt>
                <c:pt idx="9">
                  <c:v>0.21666936069322806</c:v>
                </c:pt>
                <c:pt idx="10">
                  <c:v>0.2156143409841435</c:v>
                </c:pt>
                <c:pt idx="11">
                  <c:v>0.2075495068848229</c:v>
                </c:pt>
                <c:pt idx="12">
                  <c:v>0.19325453295132089</c:v>
                </c:pt>
                <c:pt idx="13">
                  <c:v>0.17406104802954248</c:v>
                </c:pt>
                <c:pt idx="14">
                  <c:v>0.15164825587468558</c:v>
                </c:pt>
                <c:pt idx="15">
                  <c:v>0.1278018576651421</c:v>
                </c:pt>
                <c:pt idx="16">
                  <c:v>0.10418395365943085</c:v>
                </c:pt>
                <c:pt idx="17">
                  <c:v>8.2153945063183326E-2</c:v>
                </c:pt>
                <c:pt idx="18">
                  <c:v>6.2664262557424313E-2</c:v>
                </c:pt>
                <c:pt idx="19">
                  <c:v>4.6235479309203978E-2</c:v>
                </c:pt>
                <c:pt idx="20">
                  <c:v>3.299853931845146E-2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82-4E73-8548-59DCEEC1C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6004207"/>
        <c:axId val="876002767"/>
      </c:lineChart>
      <c:catAx>
        <c:axId val="876004207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002767"/>
        <c:crosses val="autoZero"/>
        <c:auto val="1"/>
        <c:lblAlgn val="ctr"/>
        <c:lblOffset val="100"/>
        <c:tickLblSkip val="5"/>
        <c:noMultiLvlLbl val="1"/>
      </c:catAx>
      <c:valAx>
        <c:axId val="87600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004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92D05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pdf: Value_U</a:t>
            </a:r>
            <a:r>
              <a:rPr lang="en-US" sz="11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sz="1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(Constrained  2,15)</a:t>
            </a:r>
            <a:endParaRPr lang="en-US" sz="1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'Method Comparison'!$D$42</c:f>
              <c:strCache>
                <c:ptCount val="1"/>
                <c:pt idx="0">
                  <c:v>Value_U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'Method Comparison'!$D$43:$D$63</c:f>
              <c:numCache>
                <c:formatCode>General</c:formatCode>
                <c:ptCount val="21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</c:numCache>
            </c:numRef>
          </c:cat>
          <c:val>
            <c:numRef>
              <c:f>'Method Comparison'!$E$43:$E$63</c:f>
              <c:numCache>
                <c:formatCode>0.0000</c:formatCode>
                <c:ptCount val="21"/>
                <c:pt idx="0">
                  <c:v>1.4938069099041391E-2</c:v>
                </c:pt>
                <c:pt idx="1">
                  <c:v>1.992455861992122E-2</c:v>
                </c:pt>
                <c:pt idx="2">
                  <c:v>2.6006146012754649E-2</c:v>
                </c:pt>
                <c:pt idx="3">
                  <c:v>3.321668786436794E-2</c:v>
                </c:pt>
                <c:pt idx="4">
                  <c:v>4.1517356770876562E-2</c:v>
                </c:pt>
                <c:pt idx="5">
                  <c:v>5.0780398938449239E-2</c:v>
                </c:pt>
                <c:pt idx="6">
                  <c:v>6.0779281603457844E-2</c:v>
                </c:pt>
                <c:pt idx="7">
                  <c:v>7.1188207611340995E-2</c:v>
                </c:pt>
                <c:pt idx="8">
                  <c:v>8.1593130457561933E-2</c:v>
                </c:pt>
                <c:pt idx="9">
                  <c:v>9.1514977057542829E-2</c:v>
                </c:pt>
                <c:pt idx="10">
                  <c:v>0.10044395300758686</c:v>
                </c:pt>
                <c:pt idx="11">
                  <c:v>0.10788186829491878</c:v>
                </c:pt>
                <c:pt idx="12">
                  <c:v>0.11338775677159389</c:v>
                </c:pt>
                <c:pt idx="13">
                  <c:v>0.11662103989546291</c:v>
                </c:pt>
                <c:pt idx="14">
                  <c:v>0.1173763762922914</c:v>
                </c:pt>
                <c:pt idx="15">
                  <c:v>0.1156052420351002</c:v>
                </c:pt>
                <c:pt idx="16">
                  <c:v>0.11142108897347155</c:v>
                </c:pt>
                <c:pt idx="17">
                  <c:v>0.10508731887146984</c:v>
                </c:pt>
                <c:pt idx="18">
                  <c:v>9.6989845331171165E-2</c:v>
                </c:pt>
                <c:pt idx="19">
                  <c:v>8.7598216372887533E-2</c:v>
                </c:pt>
                <c:pt idx="20">
                  <c:v>7.7420737092286626E-2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5A-4787-9945-F30964425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7886047"/>
        <c:axId val="1667886527"/>
      </c:lineChart>
      <c:catAx>
        <c:axId val="166788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886527"/>
        <c:crosses val="autoZero"/>
        <c:auto val="1"/>
        <c:lblAlgn val="ctr"/>
        <c:lblOffset val="100"/>
        <c:noMultiLvlLbl val="0"/>
      </c:catAx>
      <c:valAx>
        <c:axId val="166788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886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92D05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pdf: Rate_M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'Method Comparison'!$F$42</c:f>
              <c:strCache>
                <c:ptCount val="1"/>
                <c:pt idx="0">
                  <c:v>Rate_M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'Method Comparison'!$F$43:$F$63</c:f>
              <c:numCache>
                <c:formatCode>General</c:formatCode>
                <c:ptCount val="21"/>
                <c:pt idx="0">
                  <c:v>0.8</c:v>
                </c:pt>
                <c:pt idx="1">
                  <c:v>0.82499999999999996</c:v>
                </c:pt>
                <c:pt idx="2">
                  <c:v>0.85</c:v>
                </c:pt>
                <c:pt idx="3">
                  <c:v>0.875</c:v>
                </c:pt>
                <c:pt idx="4">
                  <c:v>0.9</c:v>
                </c:pt>
                <c:pt idx="5">
                  <c:v>0.92500000000000004</c:v>
                </c:pt>
                <c:pt idx="6">
                  <c:v>0.94999999999999896</c:v>
                </c:pt>
                <c:pt idx="7">
                  <c:v>0.97499999999999898</c:v>
                </c:pt>
                <c:pt idx="8">
                  <c:v>0.999999999999999</c:v>
                </c:pt>
                <c:pt idx="9">
                  <c:v>1.0249999999999999</c:v>
                </c:pt>
                <c:pt idx="10">
                  <c:v>1.05</c:v>
                </c:pt>
                <c:pt idx="11">
                  <c:v>1.075</c:v>
                </c:pt>
                <c:pt idx="12">
                  <c:v>1.1000000000000001</c:v>
                </c:pt>
                <c:pt idx="13">
                  <c:v>1.125</c:v>
                </c:pt>
                <c:pt idx="14">
                  <c:v>1.1499999999999999</c:v>
                </c:pt>
                <c:pt idx="15">
                  <c:v>1.175</c:v>
                </c:pt>
                <c:pt idx="16">
                  <c:v>1.2</c:v>
                </c:pt>
                <c:pt idx="17">
                  <c:v>1.2250000000000001</c:v>
                </c:pt>
                <c:pt idx="18">
                  <c:v>1.25</c:v>
                </c:pt>
                <c:pt idx="19">
                  <c:v>1.2749999999999999</c:v>
                </c:pt>
                <c:pt idx="20">
                  <c:v>1.3</c:v>
                </c:pt>
              </c:numCache>
            </c:numRef>
          </c:cat>
          <c:val>
            <c:numRef>
              <c:f>'Method Comparison'!$G$43:$G$63</c:f>
              <c:numCache>
                <c:formatCode>0.0000</c:formatCode>
                <c:ptCount val="21"/>
                <c:pt idx="0">
                  <c:v>1.5069795962427674E-2</c:v>
                </c:pt>
                <c:pt idx="1">
                  <c:v>5.9067995489433513E-2</c:v>
                </c:pt>
                <c:pt idx="2">
                  <c:v>0.19468792741417465</c:v>
                </c:pt>
                <c:pt idx="3">
                  <c:v>0.53959477844533177</c:v>
                </c:pt>
                <c:pt idx="4">
                  <c:v>1.2575879952570681</c:v>
                </c:pt>
                <c:pt idx="5">
                  <c:v>2.4646256018096118</c:v>
                </c:pt>
                <c:pt idx="6">
                  <c:v>4.0616776752539039</c:v>
                </c:pt>
                <c:pt idx="7">
                  <c:v>5.6286194128831264</c:v>
                </c:pt>
                <c:pt idx="8">
                  <c:v>6.5590394111852657</c:v>
                </c:pt>
                <c:pt idx="9">
                  <c:v>6.4271809122066204</c:v>
                </c:pt>
                <c:pt idx="10">
                  <c:v>5.2959361040947437</c:v>
                </c:pt>
                <c:pt idx="11">
                  <c:v>3.6694998699777397</c:v>
                </c:pt>
                <c:pt idx="12">
                  <c:v>2.1380258143754847</c:v>
                </c:pt>
                <c:pt idx="13">
                  <c:v>1.0475166636798314</c:v>
                </c:pt>
                <c:pt idx="14">
                  <c:v>0.43156961882653777</c:v>
                </c:pt>
                <c:pt idx="15">
                  <c:v>0.14951429444118036</c:v>
                </c:pt>
                <c:pt idx="16">
                  <c:v>4.3556853103674291E-2</c:v>
                </c:pt>
                <c:pt idx="17">
                  <c:v>1.0670191227741025E-2</c:v>
                </c:pt>
                <c:pt idx="18">
                  <c:v>2.1980108817993725E-3</c:v>
                </c:pt>
                <c:pt idx="19">
                  <c:v>3.8074078544003519E-4</c:v>
                </c:pt>
                <c:pt idx="20">
                  <c:v>5.5458854207756487E-5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58-4894-8D51-7BAF9B676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2765487"/>
        <c:axId val="1665158607"/>
      </c:lineChart>
      <c:catAx>
        <c:axId val="1642765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158607"/>
        <c:crosses val="autoZero"/>
        <c:auto val="1"/>
        <c:lblAlgn val="ctr"/>
        <c:lblOffset val="100"/>
        <c:noMultiLvlLbl val="0"/>
      </c:catAx>
      <c:valAx>
        <c:axId val="166515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765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92D05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pdf:</a:t>
            </a:r>
            <a:r>
              <a:rPr lang="en-US" b="1" baseline="0"/>
              <a:t> </a:t>
            </a:r>
            <a:r>
              <a:rPr lang="en-US" b="1"/>
              <a:t>ln(Rate_M)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'Method Comparison'!$H$42</c:f>
              <c:strCache>
                <c:ptCount val="1"/>
                <c:pt idx="0">
                  <c:v>lnRate_M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'Method Comparison'!$H$43:$H$63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'Method Comparison'!$I$43:$I$63</c:f>
              <c:numCache>
                <c:formatCode>General</c:formatCode>
                <c:ptCount val="21"/>
                <c:pt idx="0">
                  <c:v>5.9899168917933861E-64</c:v>
                </c:pt>
                <c:pt idx="1">
                  <c:v>7.1868248884285798E-52</c:v>
                </c:pt>
                <c:pt idx="2">
                  <c:v>4.7288886053114949E-41</c:v>
                </c:pt>
                <c:pt idx="3">
                  <c:v>1.7064236391246367E-31</c:v>
                </c:pt>
                <c:pt idx="4">
                  <c:v>3.376917012680703E-23</c:v>
                </c:pt>
                <c:pt idx="5">
                  <c:v>3.6648792622430911E-16</c:v>
                </c:pt>
                <c:pt idx="6">
                  <c:v>2.1812463090360979E-10</c:v>
                </c:pt>
                <c:pt idx="7">
                  <c:v>7.1195984780353935E-6</c:v>
                </c:pt>
                <c:pt idx="8">
                  <c:v>1.2744184434217942E-2</c:v>
                </c:pt>
                <c:pt idx="9">
                  <c:v>1.2510490823026443</c:v>
                </c:pt>
                <c:pt idx="10">
                  <c:v>6.7350744942341212</c:v>
                </c:pt>
                <c:pt idx="11">
                  <c:v>1.9884570414587921</c:v>
                </c:pt>
                <c:pt idx="12">
                  <c:v>3.2195544656951805E-2</c:v>
                </c:pt>
                <c:pt idx="13">
                  <c:v>2.8587823648528117E-5</c:v>
                </c:pt>
                <c:pt idx="14">
                  <c:v>1.3921055552082465E-9</c:v>
                </c:pt>
                <c:pt idx="15">
                  <c:v>3.7176542157150046E-15</c:v>
                </c:pt>
                <c:pt idx="16">
                  <c:v>5.4446701414434122E-22</c:v>
                </c:pt>
                <c:pt idx="17">
                  <c:v>4.3730043435791945E-30</c:v>
                </c:pt>
                <c:pt idx="18">
                  <c:v>1.9261672659973247E-39</c:v>
                </c:pt>
                <c:pt idx="19">
                  <c:v>4.6527941802229401E-50</c:v>
                </c:pt>
                <c:pt idx="20">
                  <c:v>6.1636708623578955E-62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9E-4E33-B0F2-829DAF092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5604847"/>
        <c:axId val="1695616367"/>
      </c:lineChart>
      <c:catAx>
        <c:axId val="1695604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616367"/>
        <c:crosses val="autoZero"/>
        <c:auto val="1"/>
        <c:lblAlgn val="ctr"/>
        <c:lblOffset val="100"/>
        <c:noMultiLvlLbl val="0"/>
      </c:catAx>
      <c:valAx>
        <c:axId val="169561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604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92D05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563878</xdr:colOff>
      <xdr:row>11</xdr:row>
      <xdr:rowOff>112394</xdr:rowOff>
    </xdr:from>
    <xdr:to>
      <xdr:col>7</xdr:col>
      <xdr:colOff>579120</xdr:colOff>
      <xdr:row>21</xdr:row>
      <xdr:rowOff>142875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2580C6C-F124-B5F7-40E6-4856D694F2D2}"/>
                </a:ext>
              </a:extLst>
            </xdr:cNvPr>
            <xdr:cNvSpPr txBox="1"/>
          </xdr:nvSpPr>
          <xdr:spPr>
            <a:xfrm>
              <a:off x="1173478" y="2103119"/>
              <a:ext cx="3787142" cy="1840231"/>
            </a:xfrm>
            <a:prstGeom prst="rect">
              <a:avLst/>
            </a:prstGeom>
            <a:solidFill>
              <a:srgbClr val="92D050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>
                  <a:solidFill>
                    <a:sysClr val="windowText" lastClr="000000"/>
                  </a:solidFill>
                </a:rPr>
                <a:t> Proposed  derivation of Rate</a:t>
              </a:r>
              <a:r>
                <a:rPr lang="en-US" sz="1100" b="1" baseline="0">
                  <a:solidFill>
                    <a:sysClr val="windowText" lastClr="000000"/>
                  </a:solidFill>
                </a:rPr>
                <a:t> Review</a:t>
              </a:r>
              <a:r>
                <a:rPr lang="en-US" sz="1100" b="1">
                  <a:solidFill>
                    <a:sysClr val="windowText" lastClr="000000"/>
                  </a:solidFill>
                </a:rPr>
                <a:t> for YoY comparisons:</a:t>
              </a:r>
            </a:p>
            <a:p>
              <a:endParaRPr lang="en-US" sz="1100" b="1">
                <a:solidFill>
                  <a:sysClr val="windowText" lastClr="000000"/>
                </a:solidFill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b>
                        <m:r>
                          <a:rPr lang="en-US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10</m:t>
                        </m:r>
                      </m:sub>
                    </m:sSub>
                    <m:r>
                      <a:rPr lang="en-US" sz="110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9</m:t>
                        </m:r>
                      </m:den>
                    </m:f>
                    <m:nary>
                      <m:naryPr>
                        <m:chr m:val="∑"/>
                        <m:limLoc m:val="undOvr"/>
                        <m:grow m:val="on"/>
                        <m:ctrlPr>
                          <a:rPr lang="en-US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US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9</m:t>
                        </m:r>
                      </m:sup>
                      <m:e>
                        <m:func>
                          <m:funcPr>
                            <m:ctrlP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ln</m:t>
                            </m:r>
                          </m:fName>
                          <m:e>
                            <m:sSub>
                              <m:sSubPr>
                                <m:ctrlPr>
                                  <a:rPr lang="en-US" sz="110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</a:rPr>
                                  <m:t>𝑟</m:t>
                                </m:r>
                              </m:e>
                              <m:sub>
                                <m:r>
                                  <a:rPr lang="en-US" sz="110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func>
                      </m:e>
                    </m:nary>
                  </m:oMath>
                </m:oMathPara>
              </a14:m>
              <a:endParaRPr lang="en-US" sz="1100" b="1">
                <a:solidFill>
                  <a:sysClr val="windowText" lastClr="000000"/>
                </a:solidFill>
              </a:endParaRPr>
            </a:p>
            <a:p>
              <a:endParaRPr lang="en-US" sz="1100"/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𝑠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ⅆ</m:t>
                    </m:r>
                    <m:d>
                      <m:dPr>
                        <m:ctrlPr>
                          <a:rPr lang="en-US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unc>
                          <m:funcPr>
                            <m:ctrlPr>
                              <a:rPr lang="en-US" sz="1100" b="1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lang="en-US" sz="1100" b="1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ln</m:t>
                            </m:r>
                          </m:fName>
                          <m:e>
                            <m:sSub>
                              <m:sSubPr>
                                <m:ctrlPr>
                                  <a:rPr lang="en-US" sz="1100" b="1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1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𝑟</m:t>
                                </m:r>
                              </m:e>
                              <m:sub>
                                <m:r>
                                  <a:rPr lang="en-US" sz="1100" b="1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𝑖</m:t>
                                </m:r>
                              </m:sub>
                            </m:sSub>
                          </m:e>
                        </m:func>
                      </m:e>
                    </m:d>
                  </m:oMath>
                </m:oMathPara>
              </a14:m>
              <a:endParaRPr lang="en-US" sz="1100"/>
            </a:p>
            <a:p>
              <a:endParaRPr lang="en-US" sz="1100"/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𝑧</m:t>
                        </m:r>
                      </m:e>
                      <m:sub>
                        <m:r>
                          <a:rPr lang="en-US" sz="1100" i="0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US" sz="11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i="0">
                                <a:latin typeface="Cambria Math" panose="02040503050406030204" pitchFamily="18" charset="0"/>
                              </a:rPr>
                              <m:t>1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  <m:r>
                          <a:rPr lang="en-US" sz="1100" i="0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b>
                            <m:r>
                              <a:rPr lang="en-US" sz="1100" i="0">
                                <a:latin typeface="Cambria Math" panose="02040503050406030204" pitchFamily="18" charset="0"/>
                              </a:rPr>
                              <m:t>1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  <m:sub>
                            <m:r>
                              <a:rPr lang="en-US" sz="1100" i="0">
                                <a:latin typeface="Cambria Math" panose="02040503050406030204" pitchFamily="18" charset="0"/>
                              </a:rPr>
                              <m:t>1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2580C6C-F124-B5F7-40E6-4856D694F2D2}"/>
                </a:ext>
              </a:extLst>
            </xdr:cNvPr>
            <xdr:cNvSpPr txBox="1"/>
          </xdr:nvSpPr>
          <xdr:spPr>
            <a:xfrm>
              <a:off x="1173478" y="2103119"/>
              <a:ext cx="3787142" cy="1840231"/>
            </a:xfrm>
            <a:prstGeom prst="rect">
              <a:avLst/>
            </a:prstGeom>
            <a:solidFill>
              <a:srgbClr val="92D050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>
                  <a:solidFill>
                    <a:sysClr val="windowText" lastClr="000000"/>
                  </a:solidFill>
                </a:rPr>
                <a:t> Proposed  derivation of Rate</a:t>
              </a:r>
              <a:r>
                <a:rPr lang="en-US" sz="1100" b="1" baseline="0">
                  <a:solidFill>
                    <a:sysClr val="windowText" lastClr="000000"/>
                  </a:solidFill>
                </a:rPr>
                <a:t> Review</a:t>
              </a:r>
              <a:r>
                <a:rPr lang="en-US" sz="1100" b="1">
                  <a:solidFill>
                    <a:sysClr val="windowText" lastClr="000000"/>
                  </a:solidFill>
                </a:rPr>
                <a:t> for YoY comparisons:</a:t>
              </a:r>
            </a:p>
            <a:p>
              <a:endParaRPr lang="en-US" sz="1100" b="1">
                <a:solidFill>
                  <a:sysClr val="windowText" lastClr="000000"/>
                </a:solidFill>
              </a:endParaRPr>
            </a:p>
            <a:p>
              <a:pPr/>
              <a:r>
                <a:rPr lang="en-US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𝑚_10=1/9 ∑129_1^9▒ln⁡〖𝑟_𝑖 〗 </a:t>
              </a:r>
              <a:endParaRPr lang="en-US" sz="1100" b="1">
                <a:solidFill>
                  <a:sysClr val="windowText" lastClr="000000"/>
                </a:solidFill>
              </a:endParaRPr>
            </a:p>
            <a:p>
              <a:endParaRPr lang="en-US" sz="1100"/>
            </a:p>
            <a:p>
              <a:pPr/>
              <a:r>
                <a:rPr lang="en-US" sz="1100" i="0">
                  <a:latin typeface="Cambria Math" panose="02040503050406030204" pitchFamily="18" charset="0"/>
                </a:rPr>
                <a:t>𝑠</a:t>
              </a:r>
              <a:r>
                <a:rPr lang="en-US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sz="1100" i="0">
                  <a:latin typeface="Cambria Math" panose="02040503050406030204" pitchFamily="18" charset="0"/>
                </a:rPr>
                <a:t>1</a:t>
              </a:r>
              <a:r>
                <a:rPr lang="en-US" sz="1100" b="0" i="0">
                  <a:latin typeface="Cambria Math" panose="02040503050406030204" pitchFamily="18" charset="0"/>
                </a:rPr>
                <a:t>0</a:t>
              </a:r>
              <a:r>
                <a:rPr lang="en-US" sz="1100" i="0">
                  <a:latin typeface="Cambria Math" panose="02040503050406030204" pitchFamily="18" charset="0"/>
                </a:rPr>
                <a:t>=𝑠ⅆ</a:t>
              </a:r>
              <a:r>
                <a:rPr lang="en-US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ln⁡〖𝑟_𝑖 〗 )</a:t>
              </a:r>
              <a:endParaRPr lang="en-US" sz="1100"/>
            </a:p>
            <a:p>
              <a:endParaRPr lang="en-US" sz="1100"/>
            </a:p>
            <a:p>
              <a:pPr/>
              <a:r>
                <a:rPr lang="en-US" sz="1100" i="0">
                  <a:latin typeface="Cambria Math" panose="02040503050406030204" pitchFamily="18" charset="0"/>
                </a:rPr>
                <a:t>𝑧</a:t>
              </a:r>
              <a:r>
                <a:rPr lang="en-US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sz="1100" i="0">
                  <a:latin typeface="Cambria Math" panose="02040503050406030204" pitchFamily="18" charset="0"/>
                </a:rPr>
                <a:t>1</a:t>
              </a:r>
              <a:r>
                <a:rPr lang="en-US" sz="1100" b="0" i="0">
                  <a:latin typeface="Cambria Math" panose="02040503050406030204" pitchFamily="18" charset="0"/>
                </a:rPr>
                <a:t>0</a:t>
              </a:r>
              <a:r>
                <a:rPr lang="en-US" sz="1100" i="0">
                  <a:latin typeface="Cambria Math" panose="02040503050406030204" pitchFamily="18" charset="0"/>
                </a:rPr>
                <a:t>=</a:t>
              </a:r>
              <a:r>
                <a:rPr lang="en-US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en-US" sz="1100" i="0">
                  <a:latin typeface="Cambria Math" panose="02040503050406030204" pitchFamily="18" charset="0"/>
                </a:rPr>
                <a:t>𝑥</a:t>
              </a:r>
              <a:r>
                <a:rPr lang="en-US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sz="1100" i="0">
                  <a:latin typeface="Cambria Math" panose="02040503050406030204" pitchFamily="18" charset="0"/>
                </a:rPr>
                <a:t>1</a:t>
              </a:r>
              <a:r>
                <a:rPr lang="en-US" sz="1100" b="0" i="0">
                  <a:latin typeface="Cambria Math" panose="02040503050406030204" pitchFamily="18" charset="0"/>
                </a:rPr>
                <a:t>0</a:t>
              </a:r>
              <a:r>
                <a:rPr lang="en-US" sz="1100" i="0">
                  <a:latin typeface="Cambria Math" panose="02040503050406030204" pitchFamily="18" charset="0"/>
                </a:rPr>
                <a:t>−𝑚</a:t>
              </a:r>
              <a:r>
                <a:rPr lang="en-US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sz="1100" i="0">
                  <a:latin typeface="Cambria Math" panose="02040503050406030204" pitchFamily="18" charset="0"/>
                </a:rPr>
                <a:t>1</a:t>
              </a:r>
              <a:r>
                <a:rPr lang="en-US" sz="1100" b="0" i="0">
                  <a:latin typeface="Cambria Math" panose="02040503050406030204" pitchFamily="18" charset="0"/>
                </a:rPr>
                <a:t>0</a:t>
              </a:r>
              <a:r>
                <a:rPr lang="en-US" sz="1100" b="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)/</a:t>
              </a:r>
              <a:r>
                <a:rPr lang="en-US" sz="1100" i="0">
                  <a:latin typeface="Cambria Math" panose="02040503050406030204" pitchFamily="18" charset="0"/>
                </a:rPr>
                <a:t>𝑠</a:t>
              </a:r>
              <a:r>
                <a:rPr lang="en-US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sz="1100" i="0">
                  <a:latin typeface="Cambria Math" panose="02040503050406030204" pitchFamily="18" charset="0"/>
                </a:rPr>
                <a:t>1</a:t>
              </a:r>
              <a:r>
                <a:rPr lang="en-US" sz="1100" b="0" i="0">
                  <a:latin typeface="Cambria Math" panose="02040503050406030204" pitchFamily="18" charset="0"/>
                </a:rPr>
                <a:t>0 </a:t>
              </a:r>
              <a:endParaRPr lang="en-US" sz="1100"/>
            </a:p>
          </xdr:txBody>
        </xdr:sp>
      </mc:Fallback>
    </mc:AlternateContent>
    <xdr:clientData/>
  </xdr:twoCellAnchor>
  <xdr:twoCellAnchor>
    <xdr:from>
      <xdr:col>9</xdr:col>
      <xdr:colOff>281940</xdr:colOff>
      <xdr:row>40</xdr:row>
      <xdr:rowOff>92392</xdr:rowOff>
    </xdr:from>
    <xdr:to>
      <xdr:col>16</xdr:col>
      <xdr:colOff>586740</xdr:colOff>
      <xdr:row>55</xdr:row>
      <xdr:rowOff>113347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E665AE-0468-E0F0-330B-FDD107DB16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135255</xdr:colOff>
      <xdr:row>40</xdr:row>
      <xdr:rowOff>115252</xdr:rowOff>
    </xdr:from>
    <xdr:to>
      <xdr:col>23</xdr:col>
      <xdr:colOff>131445</xdr:colOff>
      <xdr:row>55</xdr:row>
      <xdr:rowOff>132397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525E502-73B4-1667-E6AB-2669CB644F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263842</xdr:colOff>
      <xdr:row>56</xdr:row>
      <xdr:rowOff>73342</xdr:rowOff>
    </xdr:from>
    <xdr:to>
      <xdr:col>16</xdr:col>
      <xdr:colOff>568642</xdr:colOff>
      <xdr:row>71</xdr:row>
      <xdr:rowOff>98107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1C76BE2-45C8-CA21-4867-60A72F6404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132397</xdr:colOff>
      <xdr:row>56</xdr:row>
      <xdr:rowOff>94297</xdr:rowOff>
    </xdr:from>
    <xdr:to>
      <xdr:col>23</xdr:col>
      <xdr:colOff>134302</xdr:colOff>
      <xdr:row>71</xdr:row>
      <xdr:rowOff>120967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7851CB4-58F2-84C9-0B1E-BC56029E24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430530</xdr:colOff>
      <xdr:row>11</xdr:row>
      <xdr:rowOff>93344</xdr:rowOff>
    </xdr:from>
    <xdr:to>
      <xdr:col>22</xdr:col>
      <xdr:colOff>55246</xdr:colOff>
      <xdr:row>25</xdr:row>
      <xdr:rowOff>171449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E8BC938-ED1C-9BB1-28DC-EA65C72AAA17}"/>
            </a:ext>
          </a:extLst>
        </xdr:cNvPr>
        <xdr:cNvSpPr txBox="1"/>
      </xdr:nvSpPr>
      <xdr:spPr>
        <a:xfrm>
          <a:off x="5421630" y="2084069"/>
          <a:ext cx="9073516" cy="26117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Notes:</a:t>
          </a:r>
        </a:p>
        <a:p>
          <a:r>
            <a:rPr lang="en-US" sz="1100"/>
            <a:t>1) Rates</a:t>
          </a:r>
          <a:r>
            <a:rPr lang="en-US" sz="1100" baseline="0"/>
            <a:t> of Change are multiplicative</a:t>
          </a:r>
        </a:p>
        <a:p>
          <a:r>
            <a:rPr lang="en-US" sz="1100" baseline="0"/>
            <a:t>2) The geometric mean is the nth root of the product of n numbers.</a:t>
          </a:r>
        </a:p>
        <a:p>
          <a:r>
            <a:rPr lang="en-US" sz="1100" baseline="0"/>
            <a:t>3) The logarihmic scale will reduce the effect of large numbers on the evaluation of central tendency.</a:t>
          </a:r>
          <a:endParaRPr lang="en-US" sz="1100"/>
        </a:p>
        <a:p>
          <a:r>
            <a:rPr lang="en-US" sz="1100"/>
            <a:t>4) The move towards a geometric mean of the natural</a:t>
          </a:r>
          <a:r>
            <a:rPr lang="en-US" sz="1100" baseline="0"/>
            <a:t> log of </a:t>
          </a:r>
          <a:r>
            <a:rPr lang="en-US" sz="1100"/>
            <a:t>rates is more appropriate for ratio scale measurements. It will</a:t>
          </a:r>
          <a:r>
            <a:rPr lang="en-US" sz="1100" baseline="0"/>
            <a:t> treat changes such as 0.5x (half of a rate) with the same scaling as 2x (doubling of a rate), with an overall affect of 1.</a:t>
          </a:r>
        </a:p>
        <a:p>
          <a:r>
            <a:rPr lang="en-US" sz="1100" baseline="0"/>
            <a:t>5) Comparative Example of Arithmetic and Geometric means</a:t>
          </a:r>
        </a:p>
        <a:p>
          <a:endParaRPr lang="en-US" sz="1100" baseline="0"/>
        </a:p>
        <a:p>
          <a:r>
            <a:rPr lang="en-US" sz="1100" b="1" baseline="0"/>
            <a:t>count_series</a:t>
          </a:r>
          <a:r>
            <a:rPr lang="en-US" sz="1100" baseline="0"/>
            <a:t>={1,2,1)</a:t>
          </a:r>
        </a:p>
        <a:p>
          <a:r>
            <a:rPr lang="en-US" sz="1100" b="1" baseline="0"/>
            <a:t>rate_1 </a:t>
          </a:r>
          <a:r>
            <a:rPr lang="en-US" sz="1100" baseline="0"/>
            <a:t>= 2</a:t>
          </a:r>
        </a:p>
        <a:p>
          <a:r>
            <a:rPr lang="en-US" sz="1100" b="1" baseline="0"/>
            <a:t>rate_2 </a:t>
          </a:r>
          <a:r>
            <a:rPr lang="en-US" sz="1100" baseline="0"/>
            <a:t>= .5</a:t>
          </a:r>
        </a:p>
        <a:p>
          <a:r>
            <a:rPr lang="en-US" sz="1100" b="1" baseline="0"/>
            <a:t>Arithmetic</a:t>
          </a:r>
          <a:r>
            <a:rPr lang="en-US" sz="1100" baseline="0"/>
            <a:t> </a:t>
          </a:r>
          <a:r>
            <a:rPr lang="en-US" sz="1100" b="1" baseline="0"/>
            <a:t>Mean</a:t>
          </a:r>
          <a:r>
            <a:rPr lang="en-US" sz="1100" baseline="0"/>
            <a:t> of series = 1.25</a:t>
          </a:r>
        </a:p>
        <a:p>
          <a:r>
            <a:rPr lang="en-US" sz="1100" b="1" baseline="0"/>
            <a:t>Geometric</a:t>
          </a:r>
          <a:r>
            <a:rPr lang="en-US" sz="1100" baseline="0"/>
            <a:t> </a:t>
          </a:r>
          <a:r>
            <a:rPr lang="en-US" sz="1100" b="1" baseline="0"/>
            <a:t>Mean</a:t>
          </a:r>
          <a:r>
            <a:rPr lang="en-US" sz="1100" baseline="0"/>
            <a:t> of series= 1</a:t>
          </a:r>
        </a:p>
        <a:p>
          <a:r>
            <a:rPr lang="en-US" sz="1100" baseline="0"/>
            <a:t>Given that the count series returned to its initial state of 1, it seems more appropriate to use the Geometric mean to evaluate its change in state.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7C2C9-4BDE-4E1B-BA3E-91AFB5D875AB}">
  <sheetPr codeName="Sheet1"/>
  <dimension ref="A1:X73"/>
  <sheetViews>
    <sheetView tabSelected="1" topLeftCell="A38" workbookViewId="0">
      <selection activeCell="Y42" sqref="Y42"/>
    </sheetView>
  </sheetViews>
  <sheetFormatPr defaultRowHeight="14.4" x14ac:dyDescent="0.3"/>
  <cols>
    <col min="2" max="2" width="10.5546875" bestFit="1" customWidth="1"/>
    <col min="19" max="20" width="9.5546875" bestFit="1" customWidth="1"/>
    <col min="21" max="21" width="14.88671875" bestFit="1" customWidth="1"/>
    <col min="22" max="22" width="14.88671875" customWidth="1"/>
  </cols>
  <sheetData>
    <row r="1" spans="1:23" x14ac:dyDescent="0.3">
      <c r="A1" s="11" t="s">
        <v>11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 spans="1:23" x14ac:dyDescent="0.3">
      <c r="A2" s="7" t="s">
        <v>0</v>
      </c>
      <c r="B2" s="7" t="s">
        <v>2</v>
      </c>
      <c r="C2" s="7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7" t="s">
        <v>18</v>
      </c>
      <c r="J2" s="7" t="s">
        <v>19</v>
      </c>
      <c r="K2" s="7" t="s">
        <v>20</v>
      </c>
      <c r="L2" s="7" t="s">
        <v>21</v>
      </c>
      <c r="M2" s="7" t="s">
        <v>22</v>
      </c>
      <c r="N2" s="7" t="s">
        <v>6</v>
      </c>
      <c r="O2" s="7"/>
      <c r="P2" s="7" t="s">
        <v>7</v>
      </c>
      <c r="Q2" s="7" t="s">
        <v>8</v>
      </c>
      <c r="R2" s="7"/>
      <c r="S2" s="7" t="s">
        <v>9</v>
      </c>
      <c r="T2" s="7" t="s">
        <v>23</v>
      </c>
      <c r="U2" s="7"/>
      <c r="V2" s="7" t="s">
        <v>25</v>
      </c>
      <c r="W2" s="12"/>
    </row>
    <row r="3" spans="1:23" x14ac:dyDescent="0.3">
      <c r="A3" t="s">
        <v>1</v>
      </c>
      <c r="B3" t="s">
        <v>3</v>
      </c>
      <c r="C3" s="5">
        <f ca="1">RAND()*(51-45)+45</f>
        <v>45.805720139722567</v>
      </c>
      <c r="D3" s="5">
        <f t="shared" ref="D3:L3" ca="1" si="0">RAND()*(51-45)+45</f>
        <v>45.36455712226779</v>
      </c>
      <c r="E3" s="5">
        <f t="shared" ca="1" si="0"/>
        <v>50.759218185291616</v>
      </c>
      <c r="F3" s="5">
        <f t="shared" ca="1" si="0"/>
        <v>48.773132819210446</v>
      </c>
      <c r="G3" s="5">
        <f t="shared" ca="1" si="0"/>
        <v>46.987433117497531</v>
      </c>
      <c r="H3" s="5">
        <f t="shared" ca="1" si="0"/>
        <v>49.943755017427897</v>
      </c>
      <c r="I3" s="5">
        <f t="shared" ca="1" si="0"/>
        <v>48.117047610614385</v>
      </c>
      <c r="J3" s="5">
        <f t="shared" ca="1" si="0"/>
        <v>49.628679139408256</v>
      </c>
      <c r="K3" s="5">
        <f t="shared" ca="1" si="0"/>
        <v>46.720303797028571</v>
      </c>
      <c r="L3" s="5">
        <f t="shared" ca="1" si="0"/>
        <v>49.216557369537909</v>
      </c>
      <c r="M3" s="6">
        <v>56</v>
      </c>
      <c r="N3" s="5">
        <f ca="1">MIN($C3:$L3)</f>
        <v>45.36455712226779</v>
      </c>
      <c r="O3" s="9"/>
      <c r="P3" s="5">
        <f ca="1">AVERAGE($C3:$L3)</f>
        <v>48.131640431800697</v>
      </c>
      <c r="Q3" s="5">
        <f ca="1">MAX($C3:$L3)</f>
        <v>50.759218185291616</v>
      </c>
      <c r="R3" s="9"/>
      <c r="S3" s="3">
        <f ca="1">STDEV($C3:$L3)</f>
        <v>1.8374364972015174</v>
      </c>
      <c r="T3" s="2">
        <f ca="1">($M3-$P3)/$S3</f>
        <v>4.2822484369844078</v>
      </c>
      <c r="U3" s="9"/>
      <c r="V3" s="5">
        <f ca="1">IF(T3&gt;2.5,1,0)</f>
        <v>1</v>
      </c>
      <c r="W3" s="12"/>
    </row>
    <row r="4" spans="1:23" x14ac:dyDescent="0.3">
      <c r="A4" t="s">
        <v>1</v>
      </c>
      <c r="B4" t="s">
        <v>4</v>
      </c>
      <c r="C4" s="5">
        <f ca="1">RAND()*(55-51)+51</f>
        <v>51.549258914110496</v>
      </c>
      <c r="D4" s="5">
        <f t="shared" ref="D4:L4" ca="1" si="1">RAND()*(55-51)+51</f>
        <v>51.895645163615441</v>
      </c>
      <c r="E4" s="5">
        <f t="shared" ca="1" si="1"/>
        <v>51.74944047532081</v>
      </c>
      <c r="F4" s="5">
        <f t="shared" ca="1" si="1"/>
        <v>52.943329214516481</v>
      </c>
      <c r="G4" s="5">
        <f t="shared" ca="1" si="1"/>
        <v>51.442398879793373</v>
      </c>
      <c r="H4" s="5">
        <f t="shared" ca="1" si="1"/>
        <v>52.626207149202337</v>
      </c>
      <c r="I4" s="5">
        <f t="shared" ca="1" si="1"/>
        <v>53.467486159574428</v>
      </c>
      <c r="J4" s="5">
        <f t="shared" ca="1" si="1"/>
        <v>52.607890099784335</v>
      </c>
      <c r="K4" s="5">
        <f t="shared" ca="1" si="1"/>
        <v>53.935892155953901</v>
      </c>
      <c r="L4" s="5">
        <f t="shared" ca="1" si="1"/>
        <v>51.755474295557981</v>
      </c>
      <c r="M4" s="6">
        <v>51</v>
      </c>
      <c r="N4" s="5">
        <f t="shared" ref="N4:N5" ca="1" si="2">MIN($C4:$L4)</f>
        <v>51.442398879793373</v>
      </c>
      <c r="O4" s="9"/>
      <c r="P4" s="5">
        <f t="shared" ref="P4:P5" ca="1" si="3">AVERAGE($C4:$L4)</f>
        <v>52.39730225074296</v>
      </c>
      <c r="Q4" s="5">
        <f t="shared" ref="Q4:Q5" ca="1" si="4">MAX($C4:$L4)</f>
        <v>53.935892155953901</v>
      </c>
      <c r="R4" s="9"/>
      <c r="S4" s="3">
        <f t="shared" ref="S4:S5" ca="1" si="5">STDEV(C4:L4)</f>
        <v>0.85776119577796883</v>
      </c>
      <c r="T4" s="2">
        <f t="shared" ref="T4:T5" ca="1" si="6">($M4-$P4)/$S4</f>
        <v>-1.6290107988338651</v>
      </c>
      <c r="U4" s="9"/>
      <c r="V4" s="5">
        <f t="shared" ref="V4:V5" ca="1" si="7">IF(T4&gt;2.5,1,0)</f>
        <v>0</v>
      </c>
      <c r="W4" s="12"/>
    </row>
    <row r="5" spans="1:23" x14ac:dyDescent="0.3">
      <c r="A5" t="s">
        <v>1</v>
      </c>
      <c r="B5" t="s">
        <v>5</v>
      </c>
      <c r="C5" s="5">
        <f ca="1">RAND()*(15-2)+2</f>
        <v>6.3032806228158398</v>
      </c>
      <c r="D5" s="5">
        <f t="shared" ref="D5:L5" ca="1" si="8">RAND()*(15-2)+2</f>
        <v>4.7963930998804942</v>
      </c>
      <c r="E5" s="5">
        <f t="shared" ca="1" si="8"/>
        <v>10.176366707677541</v>
      </c>
      <c r="F5" s="5">
        <f t="shared" ca="1" si="8"/>
        <v>13.29104805273761</v>
      </c>
      <c r="G5" s="5">
        <f ca="1">RAND()*(15-2)+2</f>
        <v>10.538244976499712</v>
      </c>
      <c r="H5" s="5">
        <f t="shared" ca="1" si="8"/>
        <v>12.496873872316163</v>
      </c>
      <c r="I5" s="5">
        <f t="shared" ca="1" si="8"/>
        <v>7.9270505080771274</v>
      </c>
      <c r="J5" s="5">
        <f t="shared" ca="1" si="8"/>
        <v>9.8125094710846135</v>
      </c>
      <c r="K5" s="5">
        <f t="shared" ca="1" si="8"/>
        <v>2.7397994282046993</v>
      </c>
      <c r="L5" s="5">
        <f t="shared" ca="1" si="8"/>
        <v>10.908706670876033</v>
      </c>
      <c r="M5" s="6">
        <v>25</v>
      </c>
      <c r="N5" s="5">
        <f t="shared" ca="1" si="2"/>
        <v>2.7397994282046993</v>
      </c>
      <c r="O5" s="9"/>
      <c r="P5" s="5">
        <f t="shared" ca="1" si="3"/>
        <v>8.8990273410169838</v>
      </c>
      <c r="Q5" s="5">
        <f t="shared" ca="1" si="4"/>
        <v>13.29104805273761</v>
      </c>
      <c r="R5" s="9"/>
      <c r="S5" s="3">
        <f t="shared" ca="1" si="5"/>
        <v>3.3973285699079305</v>
      </c>
      <c r="T5" s="2">
        <f t="shared" ca="1" si="6"/>
        <v>4.7393039347440462</v>
      </c>
      <c r="U5" s="9"/>
      <c r="V5" s="5">
        <f t="shared" ca="1" si="7"/>
        <v>1</v>
      </c>
      <c r="W5" s="12"/>
    </row>
    <row r="6" spans="1:23" x14ac:dyDescent="0.3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</row>
    <row r="7" spans="1:23" x14ac:dyDescent="0.3">
      <c r="A7" s="11" t="s">
        <v>41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</row>
    <row r="8" spans="1:23" x14ac:dyDescent="0.3">
      <c r="A8" s="7" t="s">
        <v>0</v>
      </c>
      <c r="B8" s="7" t="s">
        <v>2</v>
      </c>
      <c r="C8" s="7">
        <v>2014</v>
      </c>
      <c r="D8" s="7">
        <v>2015</v>
      </c>
      <c r="E8" s="7">
        <v>2016</v>
      </c>
      <c r="F8" s="7">
        <v>2017</v>
      </c>
      <c r="G8" s="7">
        <v>2018</v>
      </c>
      <c r="H8" s="7">
        <v>2019</v>
      </c>
      <c r="I8" s="7">
        <v>2020</v>
      </c>
      <c r="J8" s="7">
        <v>2021</v>
      </c>
      <c r="K8" s="7">
        <v>2022</v>
      </c>
      <c r="L8" s="7">
        <v>2023</v>
      </c>
      <c r="M8" s="7">
        <v>2024</v>
      </c>
      <c r="N8" s="7" t="s">
        <v>6</v>
      </c>
      <c r="O8" s="7"/>
      <c r="P8" s="7" t="s">
        <v>7</v>
      </c>
      <c r="Q8" s="7" t="s">
        <v>8</v>
      </c>
      <c r="R8" s="7"/>
      <c r="S8" s="7" t="s">
        <v>9</v>
      </c>
      <c r="T8" s="7" t="s">
        <v>10</v>
      </c>
      <c r="U8" s="7"/>
      <c r="V8" s="7" t="s">
        <v>25</v>
      </c>
      <c r="W8" s="12"/>
    </row>
    <row r="9" spans="1:23" x14ac:dyDescent="0.3">
      <c r="A9" t="s">
        <v>1</v>
      </c>
      <c r="B9" t="s">
        <v>3</v>
      </c>
      <c r="C9" s="9"/>
      <c r="D9" s="5">
        <f ca="1">D3-C3</f>
        <v>-0.44116301745477671</v>
      </c>
      <c r="E9" s="5">
        <f t="shared" ref="E9:L9" ca="1" si="9">E3-D3</f>
        <v>5.3946610630238254</v>
      </c>
      <c r="F9" s="5">
        <f t="shared" ca="1" si="9"/>
        <v>-1.9860853660811699</v>
      </c>
      <c r="G9" s="5">
        <f t="shared" ca="1" si="9"/>
        <v>-1.7856997017129146</v>
      </c>
      <c r="H9" s="5">
        <f t="shared" ca="1" si="9"/>
        <v>2.9563218999303658</v>
      </c>
      <c r="I9" s="5">
        <f t="shared" ca="1" si="9"/>
        <v>-1.8267074068135116</v>
      </c>
      <c r="J9" s="5">
        <f t="shared" ca="1" si="9"/>
        <v>1.5116315287938704</v>
      </c>
      <c r="K9" s="5">
        <f t="shared" ca="1" si="9"/>
        <v>-2.908375342379685</v>
      </c>
      <c r="L9" s="5">
        <f t="shared" ca="1" si="9"/>
        <v>2.4962535725093389</v>
      </c>
      <c r="M9" s="10">
        <f ca="1">M3-L3</f>
        <v>6.7834426304620905</v>
      </c>
      <c r="N9" s="5">
        <f ca="1">MIN($D9:$L9)</f>
        <v>-2.908375342379685</v>
      </c>
      <c r="O9" s="9"/>
      <c r="P9" s="5">
        <f ca="1">AVERAGE($D9:$L9)</f>
        <v>0.37898191442392698</v>
      </c>
      <c r="Q9" s="5">
        <f ca="1">MAX($D9:$L9)</f>
        <v>5.3946610630238254</v>
      </c>
      <c r="R9" s="9"/>
      <c r="S9" s="3">
        <f ca="1">STDEV($D9:$L9)</f>
        <v>2.8326062140539721</v>
      </c>
      <c r="T9" s="2">
        <f ca="1">($M9-$P9)/$S9</f>
        <v>2.2609781353519738</v>
      </c>
      <c r="U9" s="9"/>
      <c r="V9" s="5">
        <f t="shared" ref="V9:V11" ca="1" si="10">IF(T9&gt;2.5,1,0)</f>
        <v>0</v>
      </c>
      <c r="W9" s="12"/>
    </row>
    <row r="10" spans="1:23" x14ac:dyDescent="0.3">
      <c r="A10" t="s">
        <v>1</v>
      </c>
      <c r="B10" t="s">
        <v>4</v>
      </c>
      <c r="C10" s="9"/>
      <c r="D10" s="5">
        <f t="shared" ref="D10:L11" ca="1" si="11">D4-C4</f>
        <v>0.34638624950494545</v>
      </c>
      <c r="E10" s="5">
        <f t="shared" ca="1" si="11"/>
        <v>-0.14620468829463107</v>
      </c>
      <c r="F10" s="5">
        <f t="shared" ca="1" si="11"/>
        <v>1.1938887391956712</v>
      </c>
      <c r="G10" s="5">
        <f t="shared" ca="1" si="11"/>
        <v>-1.5009303347231082</v>
      </c>
      <c r="H10" s="5">
        <f t="shared" ca="1" si="11"/>
        <v>1.1838082694089636</v>
      </c>
      <c r="I10" s="5">
        <f t="shared" ca="1" si="11"/>
        <v>0.84127901037209085</v>
      </c>
      <c r="J10" s="5">
        <f t="shared" ca="1" si="11"/>
        <v>-0.85959605979009268</v>
      </c>
      <c r="K10" s="5">
        <f t="shared" ca="1" si="11"/>
        <v>1.3280020561695665</v>
      </c>
      <c r="L10" s="5">
        <f t="shared" ca="1" si="11"/>
        <v>-2.1804178603959201</v>
      </c>
      <c r="M10" s="10">
        <f t="shared" ref="M10" ca="1" si="12">M4-L4</f>
        <v>-0.75547429555798118</v>
      </c>
      <c r="N10" s="5">
        <f t="shared" ref="N10:N11" ca="1" si="13">MIN($D10:$L10)</f>
        <v>-2.1804178603959201</v>
      </c>
      <c r="O10" s="9"/>
      <c r="P10" s="5">
        <f t="shared" ref="P10:P11" ca="1" si="14">AVERAGE($D10:$L10)</f>
        <v>2.2912820160831713E-2</v>
      </c>
      <c r="Q10" s="5">
        <f t="shared" ref="Q10:Q11" ca="1" si="15">MAX($D10:$L10)</f>
        <v>1.3280020561695665</v>
      </c>
      <c r="R10" s="9"/>
      <c r="S10" s="3">
        <f t="shared" ref="S10:S11" ca="1" si="16">STDEV($D10:$L10)</f>
        <v>1.2835821820782767</v>
      </c>
      <c r="T10" s="2">
        <f t="shared" ref="T10:T11" ca="1" si="17">($M10-$P10)/$S10</f>
        <v>-0.60641782550962875</v>
      </c>
      <c r="U10" s="9"/>
      <c r="V10" s="5">
        <f t="shared" ca="1" si="10"/>
        <v>0</v>
      </c>
      <c r="W10" s="12"/>
    </row>
    <row r="11" spans="1:23" x14ac:dyDescent="0.3">
      <c r="A11" t="s">
        <v>1</v>
      </c>
      <c r="B11" t="s">
        <v>5</v>
      </c>
      <c r="C11" s="9"/>
      <c r="D11" s="5">
        <f t="shared" ca="1" si="11"/>
        <v>-1.5068875229353456</v>
      </c>
      <c r="E11" s="5">
        <f t="shared" ca="1" si="11"/>
        <v>5.379973607797047</v>
      </c>
      <c r="F11" s="5">
        <f t="shared" ca="1" si="11"/>
        <v>3.1146813450600686</v>
      </c>
      <c r="G11" s="5">
        <f t="shared" ca="1" si="11"/>
        <v>-2.7528030762378979</v>
      </c>
      <c r="H11" s="5">
        <f t="shared" ca="1" si="11"/>
        <v>1.9586288958164513</v>
      </c>
      <c r="I11" s="5">
        <f ca="1">I5-H5</f>
        <v>-4.5698233642390358</v>
      </c>
      <c r="J11" s="5">
        <f t="shared" ca="1" si="11"/>
        <v>1.8854589630074861</v>
      </c>
      <c r="K11" s="5">
        <f t="shared" ca="1" si="11"/>
        <v>-7.0727100428799137</v>
      </c>
      <c r="L11" s="5">
        <f t="shared" ca="1" si="11"/>
        <v>8.1689072426713327</v>
      </c>
      <c r="M11" s="10">
        <f t="shared" ref="M11" ca="1" si="18">M5-L5</f>
        <v>14.091293329123967</v>
      </c>
      <c r="N11" s="5">
        <f t="shared" ca="1" si="13"/>
        <v>-7.0727100428799137</v>
      </c>
      <c r="O11" s="9"/>
      <c r="P11" s="5">
        <f t="shared" ca="1" si="14"/>
        <v>0.51171400534002143</v>
      </c>
      <c r="Q11" s="5">
        <f t="shared" ca="1" si="15"/>
        <v>8.1689072426713327</v>
      </c>
      <c r="R11" s="9"/>
      <c r="S11" s="3">
        <f t="shared" ca="1" si="16"/>
        <v>4.8883288401931244</v>
      </c>
      <c r="T11" s="2">
        <f t="shared" ca="1" si="17"/>
        <v>2.7779594556178537</v>
      </c>
      <c r="U11" s="9"/>
      <c r="V11" s="5">
        <f t="shared" ca="1" si="10"/>
        <v>1</v>
      </c>
      <c r="W11" s="12"/>
    </row>
    <row r="12" spans="1:23" x14ac:dyDescent="0.3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</row>
    <row r="13" spans="1:23" x14ac:dyDescent="0.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</row>
    <row r="14" spans="1:23" x14ac:dyDescent="0.3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</row>
    <row r="15" spans="1:23" x14ac:dyDescent="0.3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</row>
    <row r="16" spans="1:23" x14ac:dyDescent="0.3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</row>
    <row r="17" spans="1:23" x14ac:dyDescent="0.3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</row>
    <row r="18" spans="1:23" x14ac:dyDescent="0.3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</row>
    <row r="19" spans="1:23" x14ac:dyDescent="0.3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</row>
    <row r="20" spans="1:23" x14ac:dyDescent="0.3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</row>
    <row r="21" spans="1:23" x14ac:dyDescent="0.3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</row>
    <row r="22" spans="1:23" x14ac:dyDescent="0.3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</row>
    <row r="23" spans="1:23" x14ac:dyDescent="0.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</row>
    <row r="24" spans="1:23" x14ac:dyDescent="0.3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</row>
    <row r="25" spans="1:23" x14ac:dyDescent="0.3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</row>
    <row r="26" spans="1:23" x14ac:dyDescent="0.3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</row>
    <row r="27" spans="1:23" x14ac:dyDescent="0.3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</row>
    <row r="28" spans="1:23" x14ac:dyDescent="0.3">
      <c r="A28" s="11" t="s">
        <v>43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</row>
    <row r="29" spans="1:23" x14ac:dyDescent="0.3">
      <c r="A29" s="7" t="s">
        <v>0</v>
      </c>
      <c r="B29" s="7" t="s">
        <v>2</v>
      </c>
      <c r="C29" s="7">
        <v>2014</v>
      </c>
      <c r="D29" s="7">
        <v>2015</v>
      </c>
      <c r="E29" s="7">
        <v>2016</v>
      </c>
      <c r="F29" s="7">
        <v>2017</v>
      </c>
      <c r="G29" s="7">
        <v>2018</v>
      </c>
      <c r="H29" s="7">
        <v>2019</v>
      </c>
      <c r="I29" s="7">
        <v>2020</v>
      </c>
      <c r="J29" s="7">
        <v>2021</v>
      </c>
      <c r="K29" s="7">
        <v>2022</v>
      </c>
      <c r="L29" s="7">
        <v>2023</v>
      </c>
      <c r="M29" s="7">
        <v>2024</v>
      </c>
      <c r="N29" s="7" t="s">
        <v>6</v>
      </c>
      <c r="O29" s="7" t="s">
        <v>7</v>
      </c>
      <c r="P29" s="7" t="s">
        <v>34</v>
      </c>
      <c r="Q29" s="7" t="s">
        <v>8</v>
      </c>
      <c r="R29" s="7" t="s">
        <v>9</v>
      </c>
      <c r="S29" s="7" t="s">
        <v>35</v>
      </c>
      <c r="T29" s="7" t="s">
        <v>36</v>
      </c>
      <c r="U29" s="7"/>
      <c r="V29" s="7" t="s">
        <v>25</v>
      </c>
      <c r="W29" s="12"/>
    </row>
    <row r="30" spans="1:23" x14ac:dyDescent="0.3">
      <c r="A30" t="s">
        <v>1</v>
      </c>
      <c r="B30" t="s">
        <v>3</v>
      </c>
      <c r="C30" s="9"/>
      <c r="D30" s="4">
        <f t="shared" ref="D30:E32" ca="1" si="19">D3/C3</f>
        <v>0.99036882258134828</v>
      </c>
      <c r="E30" s="4">
        <f t="shared" ca="1" si="19"/>
        <v>1.1189179704429604</v>
      </c>
      <c r="F30" s="4">
        <f t="shared" ref="F30:M30" ca="1" si="20">F3/E3</f>
        <v>0.96087242008276885</v>
      </c>
      <c r="G30" s="4">
        <f t="shared" ca="1" si="20"/>
        <v>0.96338763580490006</v>
      </c>
      <c r="H30" s="4">
        <f t="shared" ca="1" si="20"/>
        <v>1.0629172888107707</v>
      </c>
      <c r="I30" s="4">
        <f t="shared" ca="1" si="20"/>
        <v>0.96342470833087979</v>
      </c>
      <c r="J30" s="4">
        <f t="shared" ca="1" si="20"/>
        <v>1.0314157165465907</v>
      </c>
      <c r="K30" s="4">
        <f t="shared" ca="1" si="20"/>
        <v>0.94139728494062913</v>
      </c>
      <c r="L30" s="4">
        <f t="shared" ca="1" si="20"/>
        <v>1.053429737600895</v>
      </c>
      <c r="M30" s="13">
        <f t="shared" ca="1" si="20"/>
        <v>1.1378284665367642</v>
      </c>
      <c r="N30" s="4">
        <f ca="1">MIN($D30:$L30)</f>
        <v>0.94139728494062913</v>
      </c>
      <c r="O30" s="8">
        <f ca="1">AVERAGE(D30:L30)</f>
        <v>1.0095701761268603</v>
      </c>
      <c r="P30" s="8" cm="1">
        <f t="array" aca="1" ref="P30" ca="1">SUMPRODUCT(LN(D30:L30))/COLUMNS(D30:L30)</f>
        <v>7.9801246203696861E-3</v>
      </c>
      <c r="Q30" s="4">
        <f ca="1">MAX($D30:$L30)</f>
        <v>1.1189179704429604</v>
      </c>
      <c r="R30" s="8">
        <f ca="1">STDEV(D30:L30)</f>
        <v>6.0055891744200812E-2</v>
      </c>
      <c r="S30" s="8" cm="1">
        <f t="array" aca="1" ref="S30" ca="1">STDEV(LN($D30:$L30))</f>
        <v>5.8688474946594078E-2</v>
      </c>
      <c r="T30" s="8">
        <f ca="1">(LN($M30)-$P30)/$S30</f>
        <v>2.0641440664412656</v>
      </c>
      <c r="U30" s="9"/>
      <c r="V30" s="5">
        <f t="shared" ref="V30:V32" ca="1" si="21">IF(T30&gt;2.5,1,0)</f>
        <v>0</v>
      </c>
      <c r="W30" s="12"/>
    </row>
    <row r="31" spans="1:23" x14ac:dyDescent="0.3">
      <c r="A31" t="s">
        <v>1</v>
      </c>
      <c r="B31" t="s">
        <v>4</v>
      </c>
      <c r="C31" s="9"/>
      <c r="D31" s="4">
        <f t="shared" ca="1" si="19"/>
        <v>1.006719519481009</v>
      </c>
      <c r="E31" s="4">
        <f t="shared" ca="1" si="19"/>
        <v>0.99718271758962274</v>
      </c>
      <c r="F31" s="4">
        <f t="shared" ref="F31:M31" ca="1" si="22">F4/E4</f>
        <v>1.0230705632414525</v>
      </c>
      <c r="G31" s="4">
        <f t="shared" ca="1" si="22"/>
        <v>0.97165024646180409</v>
      </c>
      <c r="H31" s="4">
        <f t="shared" ca="1" si="22"/>
        <v>1.0230123068750194</v>
      </c>
      <c r="I31" s="4">
        <f t="shared" ca="1" si="22"/>
        <v>1.0159859327879539</v>
      </c>
      <c r="J31" s="4">
        <f t="shared" ca="1" si="22"/>
        <v>0.98392301337630472</v>
      </c>
      <c r="K31" s="4">
        <f t="shared" ca="1" si="22"/>
        <v>1.0252434008216385</v>
      </c>
      <c r="L31" s="4">
        <f t="shared" ca="1" si="22"/>
        <v>0.95957389832189455</v>
      </c>
      <c r="M31" s="13">
        <f t="shared" ca="1" si="22"/>
        <v>0.9854030070086166</v>
      </c>
      <c r="N31" s="4">
        <f t="shared" ref="N31:N32" ca="1" si="23">MIN($D31:$L31)</f>
        <v>0.95957389832189455</v>
      </c>
      <c r="O31" s="8">
        <f t="shared" ref="O31:O32" ca="1" si="24">AVERAGE(D31:L31)</f>
        <v>1.0007068443285219</v>
      </c>
      <c r="P31" s="8" cm="1">
        <f t="array" aca="1" ref="P31" ca="1">SUMPRODUCT(LN(D31:L31))/COLUMNS(D31:L31)</f>
        <v>4.4359730446025491E-4</v>
      </c>
      <c r="Q31" s="4">
        <f t="shared" ref="Q31:Q32" ca="1" si="25">MAX($D31:$L31)</f>
        <v>1.0252434008216385</v>
      </c>
      <c r="R31" s="8">
        <f t="shared" ref="R31:R32" ca="1" si="26">STDEV(D31:L31)</f>
        <v>2.4237462149756049E-2</v>
      </c>
      <c r="S31" s="8" cm="1">
        <f t="array" aca="1" ref="S31" ca="1">STDEV(LN($D31:$L31))</f>
        <v>2.4378767280976588E-2</v>
      </c>
      <c r="T31" s="8">
        <f t="shared" ref="T31:T32" ca="1" si="27">(LN($M31)-$P31)/$S31</f>
        <v>-0.62136753862029326</v>
      </c>
      <c r="U31" s="9"/>
      <c r="V31" s="5">
        <f t="shared" ca="1" si="21"/>
        <v>0</v>
      </c>
      <c r="W31" s="12"/>
    </row>
    <row r="32" spans="1:23" x14ac:dyDescent="0.3">
      <c r="A32" t="s">
        <v>1</v>
      </c>
      <c r="B32" t="s">
        <v>5</v>
      </c>
      <c r="C32" s="9"/>
      <c r="D32" s="4">
        <f t="shared" ca="1" si="19"/>
        <v>0.76093599300007375</v>
      </c>
      <c r="E32" s="4">
        <f t="shared" ca="1" si="19"/>
        <v>2.1216707004125857</v>
      </c>
      <c r="F32" s="4">
        <f t="shared" ref="F32:M32" ca="1" si="28">F5/E5</f>
        <v>1.3060700773204452</v>
      </c>
      <c r="G32" s="4">
        <f t="shared" ca="1" si="28"/>
        <v>0.7928829189906591</v>
      </c>
      <c r="H32" s="4">
        <f t="shared" ca="1" si="28"/>
        <v>1.185859116027782</v>
      </c>
      <c r="I32" s="4">
        <f t="shared" ca="1" si="28"/>
        <v>0.63432267854103996</v>
      </c>
      <c r="J32" s="4">
        <f t="shared" ca="1" si="28"/>
        <v>1.2378512614605308</v>
      </c>
      <c r="K32" s="4">
        <f t="shared" ca="1" si="28"/>
        <v>0.27921495885209668</v>
      </c>
      <c r="L32" s="4">
        <f t="shared" ca="1" si="28"/>
        <v>3.9815712634206037</v>
      </c>
      <c r="M32" s="13">
        <f t="shared" ca="1" si="28"/>
        <v>2.2917473862180908</v>
      </c>
      <c r="N32" s="4">
        <f t="shared" ca="1" si="23"/>
        <v>0.27921495885209668</v>
      </c>
      <c r="O32" s="8">
        <f t="shared" ca="1" si="24"/>
        <v>1.3667087742250907</v>
      </c>
      <c r="P32" s="8" cm="1">
        <f t="array" aca="1" ref="P32" ca="1">SUMPRODUCT(LN(D32:L32))/COLUMNS(D32:L32)</f>
        <v>6.0943446209334957E-2</v>
      </c>
      <c r="Q32" s="4">
        <f t="shared" ca="1" si="25"/>
        <v>3.9815712634206037</v>
      </c>
      <c r="R32" s="8">
        <f t="shared" ca="1" si="26"/>
        <v>1.1110653796389072</v>
      </c>
      <c r="S32" s="8" cm="1">
        <f t="array" aca="1" ref="S32" ca="1">STDEV(LN($D32:$L32))</f>
        <v>0.75420559637600071</v>
      </c>
      <c r="T32" s="8">
        <f t="shared" ca="1" si="27"/>
        <v>1.0187820599899058</v>
      </c>
      <c r="U32" s="9"/>
      <c r="V32" s="5">
        <f t="shared" ca="1" si="21"/>
        <v>0</v>
      </c>
      <c r="W32" s="12"/>
    </row>
    <row r="33" spans="1:24" x14ac:dyDescent="0.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</row>
    <row r="34" spans="1:24" x14ac:dyDescent="0.3">
      <c r="A34" s="11" t="s">
        <v>42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</row>
    <row r="35" spans="1:24" x14ac:dyDescent="0.3">
      <c r="A35" s="7" t="s">
        <v>0</v>
      </c>
      <c r="B35" s="7" t="s">
        <v>2</v>
      </c>
      <c r="C35" s="7">
        <v>2014</v>
      </c>
      <c r="D35" s="7">
        <v>2015</v>
      </c>
      <c r="E35" s="7">
        <v>2016</v>
      </c>
      <c r="F35" s="7">
        <v>2017</v>
      </c>
      <c r="G35" s="7">
        <v>2018</v>
      </c>
      <c r="H35" s="7">
        <v>2019</v>
      </c>
      <c r="I35" s="7">
        <v>2020</v>
      </c>
      <c r="J35" s="7">
        <v>2021</v>
      </c>
      <c r="K35" s="7">
        <v>2022</v>
      </c>
      <c r="L35" s="7">
        <v>2023</v>
      </c>
      <c r="M35" s="7">
        <v>2024</v>
      </c>
      <c r="N35" s="7" t="s">
        <v>37</v>
      </c>
      <c r="O35" s="7"/>
      <c r="P35" s="7" t="s">
        <v>34</v>
      </c>
      <c r="Q35" s="7" t="s">
        <v>38</v>
      </c>
      <c r="R35" s="7"/>
      <c r="S35" s="7" t="s">
        <v>35</v>
      </c>
      <c r="T35" s="7" t="s">
        <v>36</v>
      </c>
      <c r="U35" s="7" t="s">
        <v>24</v>
      </c>
      <c r="V35" s="7" t="s">
        <v>25</v>
      </c>
      <c r="W35" s="12"/>
    </row>
    <row r="36" spans="1:24" x14ac:dyDescent="0.3">
      <c r="A36" t="s">
        <v>1</v>
      </c>
      <c r="B36" t="s">
        <v>3</v>
      </c>
      <c r="C36" s="9"/>
      <c r="D36" s="1">
        <f ca="1">LN(D30)</f>
        <v>-9.6778571703319584E-3</v>
      </c>
      <c r="E36" s="1">
        <f t="shared" ref="E36:M36" ca="1" si="29">LN(E30)</f>
        <v>0.11236212051493459</v>
      </c>
      <c r="F36" s="1">
        <f t="shared" ca="1" si="29"/>
        <v>-3.9913636282992833E-2</v>
      </c>
      <c r="G36" s="1">
        <f t="shared" ca="1" si="29"/>
        <v>-3.7299418784813757E-2</v>
      </c>
      <c r="H36" s="1">
        <f t="shared" ca="1" si="29"/>
        <v>6.1017287123458767E-2</v>
      </c>
      <c r="I36" s="1">
        <f t="shared" ca="1" si="29"/>
        <v>-3.7260938103394897E-2</v>
      </c>
      <c r="J36" s="1">
        <f t="shared" ca="1" si="29"/>
        <v>3.0932340589779683E-2</v>
      </c>
      <c r="K36" s="1">
        <f t="shared" ca="1" si="29"/>
        <v>-6.039003408487003E-2</v>
      </c>
      <c r="L36" s="1">
        <f t="shared" ca="1" si="29"/>
        <v>5.2051257781557614E-2</v>
      </c>
      <c r="M36" s="13">
        <f t="shared" ca="1" si="29"/>
        <v>0.12912159194986872</v>
      </c>
      <c r="N36" s="4">
        <f ca="1">MIN($D36:$L36)</f>
        <v>-6.039003408487003E-2</v>
      </c>
      <c r="O36" s="9"/>
      <c r="P36" s="8">
        <f ca="1">SUM(D36:L36)/COLUMNS(D36:L36)</f>
        <v>7.9801246203696861E-3</v>
      </c>
      <c r="Q36" s="4">
        <f ca="1">MAX($D36:$L36)</f>
        <v>0.11236212051493459</v>
      </c>
      <c r="R36" s="9"/>
      <c r="S36" s="8">
        <f ca="1">STDEV($D36:$L36)</f>
        <v>5.8688474946594078E-2</v>
      </c>
      <c r="T36" s="8">
        <f ca="1">($M36-$P36)/$S36</f>
        <v>2.0641440664412656</v>
      </c>
      <c r="U36" s="14" t="str">
        <f ca="1">IF(T30=T36,"MATCH","NOMATCH")</f>
        <v>MATCH</v>
      </c>
      <c r="V36" s="5">
        <f t="shared" ref="V36:V38" ca="1" si="30">IF(T36&gt;2.5,1,0)</f>
        <v>0</v>
      </c>
      <c r="W36" s="12"/>
    </row>
    <row r="37" spans="1:24" x14ac:dyDescent="0.3">
      <c r="A37" t="s">
        <v>1</v>
      </c>
      <c r="B37" t="s">
        <v>4</v>
      </c>
      <c r="C37" s="9"/>
      <c r="D37" s="4">
        <f t="shared" ref="D37:M38" ca="1" si="31">LN(D31)</f>
        <v>6.6970441361493627E-3</v>
      </c>
      <c r="E37" s="4">
        <f t="shared" ca="1" si="31"/>
        <v>-2.8212584199175249E-3</v>
      </c>
      <c r="F37" s="4">
        <f t="shared" ca="1" si="31"/>
        <v>2.2808461366314432E-2</v>
      </c>
      <c r="G37" s="4">
        <f t="shared" ca="1" si="31"/>
        <v>-2.8759368018594036E-2</v>
      </c>
      <c r="H37" s="4">
        <f t="shared" ca="1" si="31"/>
        <v>2.2751517077987039E-2</v>
      </c>
      <c r="I37" s="4">
        <f t="shared" ca="1" si="31"/>
        <v>1.5859503379290089E-2</v>
      </c>
      <c r="J37" s="4">
        <f t="shared" ca="1" si="31"/>
        <v>-1.6207623429384636E-2</v>
      </c>
      <c r="K37" s="4">
        <f t="shared" ca="1" si="31"/>
        <v>2.4930048616439823E-2</v>
      </c>
      <c r="L37" s="4">
        <f t="shared" ca="1" si="31"/>
        <v>-4.1265948968142251E-2</v>
      </c>
      <c r="M37" s="13">
        <f t="shared" ca="1" si="31"/>
        <v>-1.4704577315517109E-2</v>
      </c>
      <c r="N37" s="4">
        <f t="shared" ref="N37:N38" ca="1" si="32">MIN($D37:$L37)</f>
        <v>-4.1265948968142251E-2</v>
      </c>
      <c r="O37" s="9"/>
      <c r="P37" s="8">
        <f t="shared" ref="P37:P38" ca="1" si="33">SUM(D37:L37)/COLUMNS(D37:L37)</f>
        <v>4.4359730446025491E-4</v>
      </c>
      <c r="Q37" s="4">
        <f t="shared" ref="Q37:Q38" ca="1" si="34">MAX($D37:$L37)</f>
        <v>2.4930048616439823E-2</v>
      </c>
      <c r="R37" s="9"/>
      <c r="S37" s="8">
        <f t="shared" ref="S37:S38" ca="1" si="35">STDEV($D37:$L37)</f>
        <v>2.4378767280976588E-2</v>
      </c>
      <c r="T37" s="8">
        <f t="shared" ref="T37:T38" ca="1" si="36">($M37-$P37)/$S37</f>
        <v>-0.62136753862029326</v>
      </c>
      <c r="U37" s="14" t="str">
        <f t="shared" ref="U37:U38" ca="1" si="37">IF(T31=T37,"MATCH","NOMATCH")</f>
        <v>MATCH</v>
      </c>
      <c r="V37" s="5">
        <f t="shared" ca="1" si="30"/>
        <v>0</v>
      </c>
      <c r="W37" s="12"/>
    </row>
    <row r="38" spans="1:24" x14ac:dyDescent="0.3">
      <c r="A38" t="s">
        <v>1</v>
      </c>
      <c r="B38" t="s">
        <v>5</v>
      </c>
      <c r="C38" s="9"/>
      <c r="D38" s="4">
        <f t="shared" ca="1" si="31"/>
        <v>-0.27320603372473728</v>
      </c>
      <c r="E38" s="4">
        <f t="shared" ca="1" si="31"/>
        <v>0.75220384455512557</v>
      </c>
      <c r="F38" s="4">
        <f t="shared" ca="1" si="31"/>
        <v>0.26702268739360285</v>
      </c>
      <c r="G38" s="4">
        <f t="shared" ca="1" si="31"/>
        <v>-0.23207971138675387</v>
      </c>
      <c r="H38" s="4">
        <f t="shared" ca="1" si="31"/>
        <v>0.17046750433554489</v>
      </c>
      <c r="I38" s="4">
        <f t="shared" ca="1" si="31"/>
        <v>-0.45519749733010001</v>
      </c>
      <c r="J38" s="4">
        <f t="shared" ca="1" si="31"/>
        <v>0.21337702282846049</v>
      </c>
      <c r="K38" s="4">
        <f t="shared" ca="1" si="31"/>
        <v>-1.2757733319786557</v>
      </c>
      <c r="L38" s="4">
        <f t="shared" ca="1" si="31"/>
        <v>1.3816765311915278</v>
      </c>
      <c r="M38" s="13">
        <f t="shared" ca="1" si="31"/>
        <v>0.8293145773411924</v>
      </c>
      <c r="N38" s="4">
        <f t="shared" ca="1" si="32"/>
        <v>-1.2757733319786557</v>
      </c>
      <c r="O38" s="9"/>
      <c r="P38" s="8">
        <f t="shared" ca="1" si="33"/>
        <v>6.0943446209334957E-2</v>
      </c>
      <c r="Q38" s="4">
        <f t="shared" ca="1" si="34"/>
        <v>1.3816765311915278</v>
      </c>
      <c r="R38" s="9"/>
      <c r="S38" s="8">
        <f t="shared" ca="1" si="35"/>
        <v>0.75420559637600071</v>
      </c>
      <c r="T38" s="8">
        <f t="shared" ca="1" si="36"/>
        <v>1.0187820599899058</v>
      </c>
      <c r="U38" s="14" t="str">
        <f t="shared" ca="1" si="37"/>
        <v>MATCH</v>
      </c>
      <c r="V38" s="5">
        <f t="shared" ca="1" si="30"/>
        <v>0</v>
      </c>
      <c r="W38" s="12"/>
    </row>
    <row r="39" spans="1:24" x14ac:dyDescent="0.3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</row>
    <row r="40" spans="1:24" x14ac:dyDescent="0.3"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spans="1:24" ht="24" thickBot="1" x14ac:dyDescent="0.5">
      <c r="A41" s="15" t="s">
        <v>40</v>
      </c>
      <c r="B41" s="15"/>
      <c r="C41" s="15"/>
      <c r="D41" s="15"/>
      <c r="E41" s="15"/>
      <c r="F41" s="15"/>
      <c r="G41" s="15"/>
      <c r="H41" s="15"/>
      <c r="I41" s="15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spans="1:24" x14ac:dyDescent="0.3">
      <c r="A42" s="7" t="s">
        <v>39</v>
      </c>
      <c r="B42" s="16" t="s">
        <v>26</v>
      </c>
      <c r="C42" s="17" t="s">
        <v>29</v>
      </c>
      <c r="D42" s="16" t="s">
        <v>27</v>
      </c>
      <c r="E42" s="17" t="s">
        <v>30</v>
      </c>
      <c r="F42" s="16" t="s">
        <v>28</v>
      </c>
      <c r="G42" s="17" t="s">
        <v>31</v>
      </c>
      <c r="H42" s="16" t="s">
        <v>32</v>
      </c>
      <c r="I42" s="17" t="s">
        <v>33</v>
      </c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spans="1:24" x14ac:dyDescent="0.3">
      <c r="A43" s="7">
        <v>1</v>
      </c>
      <c r="B43" s="24">
        <v>45</v>
      </c>
      <c r="C43" s="25">
        <f ca="1">_xlfn.NORM.DIST(B43,$P$3,$S$3,FALSE)</f>
        <v>5.0807082068836398E-2</v>
      </c>
      <c r="D43" s="26">
        <v>2</v>
      </c>
      <c r="E43" s="25">
        <f ca="1">_xlfn.NORM.DIST(D43,$P$5,$S$5,FALSE)</f>
        <v>1.4938069099041391E-2</v>
      </c>
      <c r="F43" s="26">
        <v>0.8</v>
      </c>
      <c r="G43" s="25">
        <f ca="1">_xlfn.NORM.DIST(F43,$O$30,$R$30,FALSE)</f>
        <v>1.5069795962427674E-2</v>
      </c>
      <c r="H43" s="26">
        <v>-1</v>
      </c>
      <c r="I43" s="27">
        <f ca="1">_xlfn.NORM.DIST(H43,$P$36,$S$36,FALSE)</f>
        <v>5.9899168917933861E-64</v>
      </c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spans="1:24" x14ac:dyDescent="0.3">
      <c r="A44" s="7">
        <v>2</v>
      </c>
      <c r="B44" s="18">
        <v>45.33</v>
      </c>
      <c r="C44" s="19">
        <f t="shared" ref="C44:C63" ca="1" si="38">_xlfn.NORM.DIST(B44,$P$3,$S$3,FALSE)</f>
        <v>6.7897994213100943E-2</v>
      </c>
      <c r="D44" s="22">
        <v>2.5</v>
      </c>
      <c r="E44" s="19">
        <f t="shared" ref="E44:E63" ca="1" si="39">_xlfn.NORM.DIST(D44,$P$5,$S$5,FALSE)</f>
        <v>1.992455861992122E-2</v>
      </c>
      <c r="F44" s="22">
        <v>0.82499999999999996</v>
      </c>
      <c r="G44" s="19">
        <f ca="1">_xlfn.NORM.DIST(F44,$O$30,$R$30,FALSE)</f>
        <v>5.9067995489433513E-2</v>
      </c>
      <c r="H44" s="22">
        <v>-0.9</v>
      </c>
      <c r="I44" s="28">
        <f t="shared" ref="I44:I63" ca="1" si="40">_xlfn.NORM.DIST(H44,$P$36,$S$36,FALSE)</f>
        <v>7.1868248884285798E-52</v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spans="1:24" x14ac:dyDescent="0.3">
      <c r="A45" s="7">
        <v>3</v>
      </c>
      <c r="B45" s="18">
        <v>45.67</v>
      </c>
      <c r="C45" s="19">
        <f t="shared" ca="1" si="38"/>
        <v>8.850223447330581E-2</v>
      </c>
      <c r="D45" s="22">
        <v>3</v>
      </c>
      <c r="E45" s="19">
        <f t="shared" ca="1" si="39"/>
        <v>2.6006146012754649E-2</v>
      </c>
      <c r="F45" s="22">
        <v>0.85</v>
      </c>
      <c r="G45" s="19">
        <f t="shared" ref="G45:G63" ca="1" si="41">_xlfn.NORM.DIST(F45,$O$30,$R$30,FALSE)</f>
        <v>0.19468792741417465</v>
      </c>
      <c r="H45" s="22">
        <v>-0.8</v>
      </c>
      <c r="I45" s="28">
        <f t="shared" ca="1" si="40"/>
        <v>4.7288886053114949E-41</v>
      </c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spans="1:24" x14ac:dyDescent="0.3">
      <c r="A46" s="7">
        <v>4</v>
      </c>
      <c r="B46" s="18">
        <v>46.003333333333302</v>
      </c>
      <c r="C46" s="19">
        <f t="shared" ca="1" si="38"/>
        <v>0.11100920574702169</v>
      </c>
      <c r="D46" s="22">
        <v>3.5</v>
      </c>
      <c r="E46" s="19">
        <f t="shared" ca="1" si="39"/>
        <v>3.321668786436794E-2</v>
      </c>
      <c r="F46" s="22">
        <v>0.875</v>
      </c>
      <c r="G46" s="19">
        <f t="shared" ca="1" si="41"/>
        <v>0.53959477844533177</v>
      </c>
      <c r="H46" s="22">
        <v>-0.7</v>
      </c>
      <c r="I46" s="28">
        <f t="shared" ca="1" si="40"/>
        <v>1.7064236391246367E-31</v>
      </c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 spans="1:24" x14ac:dyDescent="0.3">
      <c r="A47" s="7">
        <v>5</v>
      </c>
      <c r="B47" s="18">
        <v>46.338333333333303</v>
      </c>
      <c r="C47" s="19">
        <f t="shared" ca="1" si="38"/>
        <v>0.13485144685413045</v>
      </c>
      <c r="D47" s="22">
        <v>4</v>
      </c>
      <c r="E47" s="19">
        <f t="shared" ca="1" si="39"/>
        <v>4.1517356770876562E-2</v>
      </c>
      <c r="F47" s="22">
        <v>0.9</v>
      </c>
      <c r="G47" s="19">
        <f t="shared" ca="1" si="41"/>
        <v>1.2575879952570681</v>
      </c>
      <c r="H47" s="22">
        <v>-0.6</v>
      </c>
      <c r="I47" s="28">
        <f t="shared" ca="1" si="40"/>
        <v>3.376917012680703E-23</v>
      </c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spans="1:24" x14ac:dyDescent="0.3">
      <c r="A48" s="7">
        <v>6</v>
      </c>
      <c r="B48" s="18">
        <v>46.673333333333296</v>
      </c>
      <c r="C48" s="19">
        <f t="shared" ca="1" si="38"/>
        <v>0.15845872115952153</v>
      </c>
      <c r="D48" s="22">
        <v>4.5</v>
      </c>
      <c r="E48" s="19">
        <f t="shared" ca="1" si="39"/>
        <v>5.0780398938449239E-2</v>
      </c>
      <c r="F48" s="22">
        <v>0.92500000000000004</v>
      </c>
      <c r="G48" s="19">
        <f t="shared" ca="1" si="41"/>
        <v>2.4646256018096118</v>
      </c>
      <c r="H48" s="22">
        <v>-0.5</v>
      </c>
      <c r="I48" s="28">
        <f t="shared" ca="1" si="40"/>
        <v>3.6648792622430911E-16</v>
      </c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spans="1:24" x14ac:dyDescent="0.3">
      <c r="A49" s="7">
        <v>7</v>
      </c>
      <c r="B49" s="18">
        <v>47.008333333333297</v>
      </c>
      <c r="C49" s="19">
        <f t="shared" ca="1" si="38"/>
        <v>0.18011115194044847</v>
      </c>
      <c r="D49" s="22">
        <v>5</v>
      </c>
      <c r="E49" s="19">
        <f t="shared" ca="1" si="39"/>
        <v>6.0779281603457844E-2</v>
      </c>
      <c r="F49" s="22">
        <v>0.94999999999999896</v>
      </c>
      <c r="G49" s="19">
        <f t="shared" ca="1" si="41"/>
        <v>4.0616776752539039</v>
      </c>
      <c r="H49" s="22">
        <v>-0.4</v>
      </c>
      <c r="I49" s="28">
        <f t="shared" ca="1" si="40"/>
        <v>2.1812463090360979E-10</v>
      </c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 spans="1:24" x14ac:dyDescent="0.3">
      <c r="A50" s="7">
        <v>8</v>
      </c>
      <c r="B50" s="18">
        <v>47.343333333333298</v>
      </c>
      <c r="C50" s="19">
        <f t="shared" ca="1" si="38"/>
        <v>0.19802908561154264</v>
      </c>
      <c r="D50" s="22">
        <v>5.5</v>
      </c>
      <c r="E50" s="19">
        <f t="shared" ca="1" si="39"/>
        <v>7.1188207611340995E-2</v>
      </c>
      <c r="F50" s="22">
        <v>0.97499999999999898</v>
      </c>
      <c r="G50" s="19">
        <f t="shared" ca="1" si="41"/>
        <v>5.6286194128831264</v>
      </c>
      <c r="H50" s="22">
        <v>-0.3</v>
      </c>
      <c r="I50" s="28">
        <f t="shared" ca="1" si="40"/>
        <v>7.1195984780353935E-6</v>
      </c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spans="1:24" x14ac:dyDescent="0.3">
      <c r="A51" s="7">
        <v>9</v>
      </c>
      <c r="B51" s="18">
        <v>47.678333333333299</v>
      </c>
      <c r="C51" s="19">
        <f t="shared" ca="1" si="38"/>
        <v>0.21061111216178011</v>
      </c>
      <c r="D51" s="22">
        <v>6</v>
      </c>
      <c r="E51" s="19">
        <f t="shared" ca="1" si="39"/>
        <v>8.1593130457561933E-2</v>
      </c>
      <c r="F51" s="22">
        <v>0.999999999999999</v>
      </c>
      <c r="G51" s="19">
        <f t="shared" ca="1" si="41"/>
        <v>6.5590394111852657</v>
      </c>
      <c r="H51" s="22">
        <v>-0.2</v>
      </c>
      <c r="I51" s="28">
        <f t="shared" ca="1" si="40"/>
        <v>1.2744184434217942E-2</v>
      </c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spans="1:24" x14ac:dyDescent="0.3">
      <c r="A52" s="7">
        <v>10</v>
      </c>
      <c r="B52" s="18">
        <v>48.0133333333333</v>
      </c>
      <c r="C52" s="19">
        <f t="shared" ca="1" si="38"/>
        <v>0.21666936069322806</v>
      </c>
      <c r="D52" s="22">
        <v>6.5</v>
      </c>
      <c r="E52" s="19">
        <f t="shared" ca="1" si="39"/>
        <v>9.1514977057542829E-2</v>
      </c>
      <c r="F52" s="22">
        <v>1.0249999999999999</v>
      </c>
      <c r="G52" s="19">
        <f t="shared" ca="1" si="41"/>
        <v>6.4271809122066204</v>
      </c>
      <c r="H52" s="22">
        <v>-0.1</v>
      </c>
      <c r="I52" s="28">
        <f t="shared" ca="1" si="40"/>
        <v>1.2510490823026443</v>
      </c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 spans="1:24" x14ac:dyDescent="0.3">
      <c r="A53" s="7">
        <v>11</v>
      </c>
      <c r="B53" s="18">
        <v>48.348333333333301</v>
      </c>
      <c r="C53" s="19">
        <f t="shared" ca="1" si="38"/>
        <v>0.2156143409841435</v>
      </c>
      <c r="D53" s="22">
        <v>7</v>
      </c>
      <c r="E53" s="19">
        <f t="shared" ca="1" si="39"/>
        <v>0.10044395300758686</v>
      </c>
      <c r="F53" s="22">
        <v>1.05</v>
      </c>
      <c r="G53" s="19">
        <f t="shared" ca="1" si="41"/>
        <v>5.2959361040947437</v>
      </c>
      <c r="H53" s="22">
        <v>0</v>
      </c>
      <c r="I53" s="28">
        <f t="shared" ca="1" si="40"/>
        <v>6.7350744942341212</v>
      </c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 spans="1:24" x14ac:dyDescent="0.3">
      <c r="A54" s="7">
        <v>12</v>
      </c>
      <c r="B54" s="18">
        <v>48.683333333333302</v>
      </c>
      <c r="C54" s="19">
        <f t="shared" ca="1" si="38"/>
        <v>0.2075495068848229</v>
      </c>
      <c r="D54" s="22">
        <v>7.5</v>
      </c>
      <c r="E54" s="19">
        <f t="shared" ca="1" si="39"/>
        <v>0.10788186829491878</v>
      </c>
      <c r="F54" s="22">
        <v>1.075</v>
      </c>
      <c r="G54" s="19">
        <f t="shared" ca="1" si="41"/>
        <v>3.6694998699777397</v>
      </c>
      <c r="H54" s="22">
        <v>0.1</v>
      </c>
      <c r="I54" s="28">
        <f t="shared" ca="1" si="40"/>
        <v>1.9884570414587921</v>
      </c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spans="1:24" x14ac:dyDescent="0.3">
      <c r="A55" s="7">
        <v>13</v>
      </c>
      <c r="B55" s="18">
        <v>49.018333333333302</v>
      </c>
      <c r="C55" s="19">
        <f t="shared" ca="1" si="38"/>
        <v>0.19325453295132089</v>
      </c>
      <c r="D55" s="22">
        <v>8</v>
      </c>
      <c r="E55" s="19">
        <f t="shared" ca="1" si="39"/>
        <v>0.11338775677159389</v>
      </c>
      <c r="F55" s="22">
        <v>1.1000000000000001</v>
      </c>
      <c r="G55" s="19">
        <f t="shared" ca="1" si="41"/>
        <v>2.1380258143754847</v>
      </c>
      <c r="H55" s="22">
        <v>0.2</v>
      </c>
      <c r="I55" s="28">
        <f t="shared" ca="1" si="40"/>
        <v>3.2195544656951805E-2</v>
      </c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 spans="1:24" x14ac:dyDescent="0.3">
      <c r="A56" s="7">
        <v>14</v>
      </c>
      <c r="B56" s="18">
        <v>49.353333333333303</v>
      </c>
      <c r="C56" s="19">
        <f t="shared" ca="1" si="38"/>
        <v>0.17406104802954248</v>
      </c>
      <c r="D56" s="22">
        <v>8.5</v>
      </c>
      <c r="E56" s="19">
        <f t="shared" ca="1" si="39"/>
        <v>0.11662103989546291</v>
      </c>
      <c r="F56" s="22">
        <v>1.125</v>
      </c>
      <c r="G56" s="19">
        <f t="shared" ca="1" si="41"/>
        <v>1.0475166636798314</v>
      </c>
      <c r="H56" s="22">
        <v>0.3</v>
      </c>
      <c r="I56" s="28">
        <f t="shared" ca="1" si="40"/>
        <v>2.8587823648528117E-5</v>
      </c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 spans="1:24" x14ac:dyDescent="0.3">
      <c r="A57" s="7">
        <v>15</v>
      </c>
      <c r="B57" s="18">
        <v>49.688333333333297</v>
      </c>
      <c r="C57" s="19">
        <f t="shared" ca="1" si="38"/>
        <v>0.15164825587468558</v>
      </c>
      <c r="D57" s="22">
        <v>9</v>
      </c>
      <c r="E57" s="19">
        <f t="shared" ca="1" si="39"/>
        <v>0.1173763762922914</v>
      </c>
      <c r="F57" s="22">
        <v>1.1499999999999999</v>
      </c>
      <c r="G57" s="19">
        <f t="shared" ca="1" si="41"/>
        <v>0.43156961882653777</v>
      </c>
      <c r="H57" s="22">
        <v>0.4</v>
      </c>
      <c r="I57" s="28">
        <f t="shared" ca="1" si="40"/>
        <v>1.3921055552082465E-9</v>
      </c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</row>
    <row r="58" spans="1:24" x14ac:dyDescent="0.3">
      <c r="A58" s="7">
        <v>16</v>
      </c>
      <c r="B58" s="18">
        <v>50.023333333333298</v>
      </c>
      <c r="C58" s="19">
        <f t="shared" ca="1" si="38"/>
        <v>0.1278018576651421</v>
      </c>
      <c r="D58" s="22">
        <v>9.5</v>
      </c>
      <c r="E58" s="19">
        <f t="shared" ca="1" si="39"/>
        <v>0.1156052420351002</v>
      </c>
      <c r="F58" s="22">
        <v>1.175</v>
      </c>
      <c r="G58" s="19">
        <f t="shared" ca="1" si="41"/>
        <v>0.14951429444118036</v>
      </c>
      <c r="H58" s="22">
        <v>0.5</v>
      </c>
      <c r="I58" s="28">
        <f t="shared" ca="1" si="40"/>
        <v>3.7176542157150046E-15</v>
      </c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</row>
    <row r="59" spans="1:24" x14ac:dyDescent="0.3">
      <c r="A59" s="7">
        <v>17</v>
      </c>
      <c r="B59" s="18">
        <v>50.358333333333299</v>
      </c>
      <c r="C59" s="19">
        <f t="shared" ca="1" si="38"/>
        <v>0.10418395365943085</v>
      </c>
      <c r="D59" s="22">
        <v>10</v>
      </c>
      <c r="E59" s="19">
        <f t="shared" ca="1" si="39"/>
        <v>0.11142108897347155</v>
      </c>
      <c r="F59" s="22">
        <v>1.2</v>
      </c>
      <c r="G59" s="19">
        <f t="shared" ca="1" si="41"/>
        <v>4.3556853103674291E-2</v>
      </c>
      <c r="H59" s="22">
        <v>0.6</v>
      </c>
      <c r="I59" s="28">
        <f t="shared" ca="1" si="40"/>
        <v>5.4446701414434122E-22</v>
      </c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</row>
    <row r="60" spans="1:24" x14ac:dyDescent="0.3">
      <c r="A60" s="7">
        <v>18</v>
      </c>
      <c r="B60" s="18">
        <v>50.6933333333333</v>
      </c>
      <c r="C60" s="19">
        <f t="shared" ca="1" si="38"/>
        <v>8.2153945063183326E-2</v>
      </c>
      <c r="D60" s="22">
        <v>10.5</v>
      </c>
      <c r="E60" s="19">
        <f t="shared" ca="1" si="39"/>
        <v>0.10508731887146984</v>
      </c>
      <c r="F60" s="22">
        <v>1.2250000000000001</v>
      </c>
      <c r="G60" s="19">
        <f t="shared" ca="1" si="41"/>
        <v>1.0670191227741025E-2</v>
      </c>
      <c r="H60" s="22">
        <v>0.7</v>
      </c>
      <c r="I60" s="28">
        <f t="shared" ca="1" si="40"/>
        <v>4.3730043435791945E-30</v>
      </c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</row>
    <row r="61" spans="1:24" x14ac:dyDescent="0.3">
      <c r="A61" s="7">
        <v>19</v>
      </c>
      <c r="B61" s="18">
        <v>51.0283333333334</v>
      </c>
      <c r="C61" s="19">
        <f t="shared" ca="1" si="38"/>
        <v>6.2664262557424313E-2</v>
      </c>
      <c r="D61" s="22">
        <v>11</v>
      </c>
      <c r="E61" s="19">
        <f t="shared" ca="1" si="39"/>
        <v>9.6989845331171165E-2</v>
      </c>
      <c r="F61" s="22">
        <v>1.25</v>
      </c>
      <c r="G61" s="19">
        <f t="shared" ca="1" si="41"/>
        <v>2.1980108817993725E-3</v>
      </c>
      <c r="H61" s="22">
        <v>0.8</v>
      </c>
      <c r="I61" s="28">
        <f t="shared" ca="1" si="40"/>
        <v>1.9261672659973247E-39</v>
      </c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</row>
    <row r="62" spans="1:24" x14ac:dyDescent="0.3">
      <c r="A62" s="7">
        <v>20</v>
      </c>
      <c r="B62" s="18">
        <v>51.363333333333401</v>
      </c>
      <c r="C62" s="19">
        <f t="shared" ca="1" si="38"/>
        <v>4.6235479309203978E-2</v>
      </c>
      <c r="D62" s="22">
        <v>11.5</v>
      </c>
      <c r="E62" s="19">
        <f t="shared" ca="1" si="39"/>
        <v>8.7598216372887533E-2</v>
      </c>
      <c r="F62" s="22">
        <v>1.2749999999999999</v>
      </c>
      <c r="G62" s="19">
        <f t="shared" ca="1" si="41"/>
        <v>3.8074078544003519E-4</v>
      </c>
      <c r="H62" s="22">
        <v>0.9</v>
      </c>
      <c r="I62" s="28">
        <f t="shared" ca="1" si="40"/>
        <v>4.6527941802229401E-50</v>
      </c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</row>
    <row r="63" spans="1:24" ht="15" thickBot="1" x14ac:dyDescent="0.35">
      <c r="A63" s="7">
        <v>21</v>
      </c>
      <c r="B63" s="20">
        <v>51.698333333333402</v>
      </c>
      <c r="C63" s="21">
        <f t="shared" ca="1" si="38"/>
        <v>3.299853931845146E-2</v>
      </c>
      <c r="D63" s="23">
        <v>12</v>
      </c>
      <c r="E63" s="21">
        <f t="shared" ca="1" si="39"/>
        <v>7.7420737092286626E-2</v>
      </c>
      <c r="F63" s="23">
        <v>1.3</v>
      </c>
      <c r="G63" s="21">
        <f t="shared" ca="1" si="41"/>
        <v>5.5458854207756487E-5</v>
      </c>
      <c r="H63" s="23">
        <v>1</v>
      </c>
      <c r="I63" s="29">
        <f t="shared" ca="1" si="40"/>
        <v>6.1636708623578955E-62</v>
      </c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</row>
    <row r="64" spans="1:24" x14ac:dyDescent="0.3"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</row>
    <row r="65" spans="10:24" x14ac:dyDescent="0.3"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</row>
    <row r="66" spans="10:24" x14ac:dyDescent="0.3"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</row>
    <row r="67" spans="10:24" x14ac:dyDescent="0.3"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</row>
    <row r="68" spans="10:24" x14ac:dyDescent="0.3"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</row>
    <row r="69" spans="10:24" x14ac:dyDescent="0.3"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 spans="10:24" x14ac:dyDescent="0.3"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</row>
    <row r="71" spans="10:24" x14ac:dyDescent="0.3"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</row>
    <row r="72" spans="10:24" x14ac:dyDescent="0.3"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</row>
    <row r="73" spans="10:24" x14ac:dyDescent="0.3"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</row>
  </sheetData>
  <conditionalFormatting sqref="T3:T38">
    <cfRule type="expression" dxfId="4" priority="1">
      <formula>$V3=1</formula>
    </cfRule>
  </conditionalFormatting>
  <conditionalFormatting sqref="V3:V5">
    <cfRule type="expression" dxfId="3" priority="5">
      <formula>$V3=1</formula>
    </cfRule>
  </conditionalFormatting>
  <conditionalFormatting sqref="V9:V11">
    <cfRule type="expression" dxfId="2" priority="4">
      <formula>$V9=1</formula>
    </cfRule>
  </conditionalFormatting>
  <conditionalFormatting sqref="V30:V32">
    <cfRule type="expression" dxfId="1" priority="3">
      <formula>$V30=1</formula>
    </cfRule>
  </conditionalFormatting>
  <conditionalFormatting sqref="V36:V38">
    <cfRule type="expression" dxfId="0" priority="2">
      <formula>$V36=1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37F65-533A-4C28-9986-D19AA440513B}">
  <dimension ref="A1:F8"/>
  <sheetViews>
    <sheetView workbookViewId="0">
      <pane ySplit="1" topLeftCell="A2" activePane="bottomLeft" state="frozen"/>
      <selection pane="bottomLeft" activeCell="G1" sqref="G1"/>
    </sheetView>
  </sheetViews>
  <sheetFormatPr defaultRowHeight="14.4" x14ac:dyDescent="0.3"/>
  <cols>
    <col min="1" max="1" width="15.77734375" bestFit="1" customWidth="1"/>
    <col min="3" max="3" width="17.21875" customWidth="1"/>
  </cols>
  <sheetData>
    <row r="1" spans="1:6" x14ac:dyDescent="0.3">
      <c r="A1" s="7" t="s">
        <v>52</v>
      </c>
      <c r="B1" s="7" t="s">
        <v>49</v>
      </c>
      <c r="C1" s="7" t="s">
        <v>44</v>
      </c>
      <c r="D1" s="7" t="s">
        <v>45</v>
      </c>
      <c r="E1" s="7" t="s">
        <v>46</v>
      </c>
      <c r="F1" s="31"/>
    </row>
    <row r="2" spans="1:6" x14ac:dyDescent="0.3">
      <c r="A2">
        <v>1</v>
      </c>
      <c r="B2">
        <v>1</v>
      </c>
      <c r="C2" s="31"/>
      <c r="D2" s="31"/>
      <c r="E2" s="31"/>
      <c r="F2" s="31"/>
    </row>
    <row r="3" spans="1:6" x14ac:dyDescent="0.3">
      <c r="A3">
        <v>2</v>
      </c>
      <c r="B3">
        <v>2</v>
      </c>
      <c r="C3">
        <f>SUM($B3,-$B2)</f>
        <v>1</v>
      </c>
      <c r="D3" s="30">
        <f>C3/B2</f>
        <v>1</v>
      </c>
      <c r="E3">
        <f>B3/B2</f>
        <v>2</v>
      </c>
      <c r="F3" s="31"/>
    </row>
    <row r="4" spans="1:6" x14ac:dyDescent="0.3">
      <c r="A4">
        <v>3</v>
      </c>
      <c r="B4">
        <v>1</v>
      </c>
      <c r="C4">
        <f>SUM($B4,-$B3)</f>
        <v>-1</v>
      </c>
      <c r="D4" s="30">
        <f>C4/B3</f>
        <v>-0.5</v>
      </c>
      <c r="E4">
        <f>B4/B3</f>
        <v>0.5</v>
      </c>
      <c r="F4" s="31"/>
    </row>
    <row r="5" spans="1:6" x14ac:dyDescent="0.3">
      <c r="A5" s="31"/>
      <c r="B5" s="31"/>
      <c r="C5" s="31"/>
      <c r="D5" s="31"/>
      <c r="E5" s="31"/>
      <c r="F5" s="31"/>
    </row>
    <row r="6" spans="1:6" x14ac:dyDescent="0.3">
      <c r="A6" s="34" t="s">
        <v>47</v>
      </c>
      <c r="B6" s="35"/>
      <c r="C6" s="36" t="s">
        <v>50</v>
      </c>
      <c r="D6" s="35">
        <f>SUM(D3:D4)/2</f>
        <v>0.25</v>
      </c>
      <c r="E6" s="35">
        <f>SUM(E3:E4)/2</f>
        <v>1.25</v>
      </c>
      <c r="F6" s="31"/>
    </row>
    <row r="7" spans="1:6" x14ac:dyDescent="0.3">
      <c r="A7" s="33" t="s">
        <v>48</v>
      </c>
      <c r="B7" s="32"/>
      <c r="C7" s="37" t="s">
        <v>51</v>
      </c>
      <c r="D7" s="32"/>
      <c r="E7" s="32">
        <f>SQRT(E3*E4)</f>
        <v>1</v>
      </c>
      <c r="F7" s="31"/>
    </row>
    <row r="8" spans="1:6" x14ac:dyDescent="0.3">
      <c r="A8" s="31"/>
      <c r="B8" s="31"/>
      <c r="C8" s="31"/>
      <c r="D8" s="31"/>
      <c r="E8" s="31"/>
      <c r="F8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Method Comparison</vt:lpstr>
      <vt:lpstr>arithmetic vs geometric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O’Donnell</dc:creator>
  <cp:lastModifiedBy>Aaron O’Donnell</cp:lastModifiedBy>
  <dcterms:created xsi:type="dcterms:W3CDTF">2024-09-04T15:01:21Z</dcterms:created>
  <dcterms:modified xsi:type="dcterms:W3CDTF">2026-03-13T23:04:13Z</dcterms:modified>
</cp:coreProperties>
</file>